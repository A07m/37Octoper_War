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imeline" sheetId="3" state="visible" r:id="rId5"/>
    <sheet name="Forces" sheetId="4" state="visible" r:id="rId6"/>
    <sheet name="Losses" sheetId="5" state="visible" r:id="rId7"/>
    <sheet name="Operations" sheetId="6" state="visible" r:id="rId8"/>
    <sheet name="Diplomacy" sheetId="7" state="visible" r:id="rId9"/>
    <sheet name="Economic" sheetId="8" state="visible" r:id="rId10"/>
    <sheet name="Date_Spine" sheetId="9" state="visible" r:id="rId11"/>
    <sheet name="Sources" sheetId="10" state="visible" r:id="rId12"/>
    <sheet name="Lists" sheetId="11" state="visible" r:id="rId13"/>
  </sheets>
  <definedNames>
    <definedName function="false" hidden="true" localSheetId="3" name="_xlnm._FilterDatabase" vbProcedure="false">Forces!$A$4:$H$30</definedName>
    <definedName function="false" hidden="true" localSheetId="4" name="_xlnm._FilterDatabase" vbProcedure="false">Losses!$A$4:$I$32</definedName>
    <definedName function="false" hidden="true" localSheetId="2" name="_xlnm._FilterDatabase" vbProcedure="false">Timeline!$A$4:$J$29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<sst xmlns="http://schemas.openxmlformats.org/spreadsheetml/2006/main" count="779" uniqueCount="334">
  <si>
    <t xml:space="preserve">October War 1973 (Yom Kippur / Ramadan War): data workbook</t>
  </si>
  <si>
    <t xml:space="preserve">Built for a dashboard project. Dates 6 to 25 October 1973.</t>
  </si>
  <si>
    <t xml:space="preserve">SHEETS</t>
  </si>
  <si>
    <t xml:space="preserve">Timeline: dated events by front and category, with phase and day number calculated.</t>
  </si>
  <si>
    <t xml:space="preserve">Forces: strength at the start of the war, by side.</t>
  </si>
  <si>
    <t xml:space="preserve">Losses: casualties and equipment losses as ranges, plus early-war claims by each side.</t>
  </si>
  <si>
    <t xml:space="preserve">Operations: first-day air strike and canal crossing figures.</t>
  </si>
  <si>
    <t xml:space="preserve">Diplomacy: UN resolutions and related diplomacy.</t>
  </si>
  <si>
    <t xml:space="preserve">Economic: oil price milestones and embargo events.</t>
  </si>
  <si>
    <t xml:space="preserve">Date_Spine: one row per day for a dashboard, with event counts.</t>
  </si>
  <si>
    <t xml:space="preserve">Summary: formula-driven totals and comparisons.</t>
  </si>
  <si>
    <t xml:space="preserve">Lists / Sources: dropdown lists and phase definitions; source register.</t>
  </si>
  <si>
    <t xml:space="preserve">HOW TO READ THE NUMBERS</t>
  </si>
  <si>
    <t xml:space="preserve">Blue text = typed data. Black = formula. Every row has a source ID; check the Verification column.</t>
  </si>
  <si>
    <t xml:space="preserve">Casualty and loss figures are disputed and vary widely by source. Keep the Perspective column in any chart tooltip or footnote.</t>
  </si>
  <si>
    <t xml:space="preserve">Rows marked "From your brief" are figures you pasted (Egyptian SIS, US archive memo). They were not independently checked.</t>
  </si>
  <si>
    <t xml:space="preserve">Rows marked "Needs checking" are widely reported but not confirmed in the sources fetched here.</t>
  </si>
  <si>
    <t xml:space="preserve">GAPS</t>
  </si>
  <si>
    <t xml:space="preserve">No reliable day-by-day counts of tanks, aircraft or casualties are published in one consistent open dataset, so none were invented. Date_Spine is ready for you to add them as you source them.</t>
  </si>
  <si>
    <t xml:space="preserve">Phase boundaries (Lists sheet) are analyst-defined and can be edited.</t>
  </si>
  <si>
    <t xml:space="preserve">Summary</t>
  </si>
  <si>
    <t xml:space="preserve">All numbers on this sheet are formulas over the other sheets.</t>
  </si>
  <si>
    <t xml:space="preserve">Events by phase</t>
  </si>
  <si>
    <t xml:space="preserve">Count</t>
  </si>
  <si>
    <t xml:space="preserve">Events by category</t>
  </si>
  <si>
    <t xml:space="preserve">Compiled loss estimates (mid values)</t>
  </si>
  <si>
    <t xml:space="preserve">Israel</t>
  </si>
  <si>
    <t xml:space="preserve">Arab coalition</t>
  </si>
  <si>
    <t xml:space="preserve">Arab / Israel ratio</t>
  </si>
  <si>
    <t xml:space="preserve">Killed</t>
  </si>
  <si>
    <t xml:space="preserve">Wounded</t>
  </si>
  <si>
    <t xml:space="preserve">Tanks destroyed</t>
  </si>
  <si>
    <t xml:space="preserve">Aircraft destroyed</t>
  </si>
  <si>
    <t xml:space="preserve">Captured</t>
  </si>
  <si>
    <t xml:space="preserve">Forces at start (mid values)</t>
  </si>
  <si>
    <t xml:space="preserve">Egypt</t>
  </si>
  <si>
    <t xml:space="preserve">Syria</t>
  </si>
  <si>
    <t xml:space="preserve">Troops</t>
  </si>
  <si>
    <t xml:space="preserve">Tanks</t>
  </si>
  <si>
    <t xml:space="preserve">Combat aircraft</t>
  </si>
  <si>
    <t xml:space="preserve">n/a</t>
  </si>
  <si>
    <t xml:space="preserve">Artillery</t>
  </si>
  <si>
    <t xml:space="preserve">Mid = average of the low and high published estimate. It is a convenience for charts, not a statistic. Syria has no combat aircraft figure in the source used.</t>
  </si>
  <si>
    <t xml:space="preserve">Timeline of the October War, 6 to 25 October 1973</t>
  </si>
  <si>
    <t xml:space="preserve">Day and Phase are formulas. Blue = typed data. Filter by Front, Category or Phase. Verification column says what was and was not checked.</t>
  </si>
  <si>
    <t xml:space="preserve">Date</t>
  </si>
  <si>
    <t xml:space="preserve">Day #</t>
  </si>
  <si>
    <t xml:space="preserve">Phase</t>
  </si>
  <si>
    <t xml:space="preserve">Front</t>
  </si>
  <si>
    <t xml:space="preserve">Category</t>
  </si>
  <si>
    <t xml:space="preserve">Event</t>
  </si>
  <si>
    <t xml:space="preserve">Detail / caveat</t>
  </si>
  <si>
    <t xml:space="preserve">Source</t>
  </si>
  <si>
    <t xml:space="preserve">Verification</t>
  </si>
  <si>
    <t xml:space="preserve">Confidence</t>
  </si>
  <si>
    <t xml:space="preserve">Sinai</t>
  </si>
  <si>
    <t xml:space="preserve">Context</t>
  </si>
  <si>
    <t xml:space="preserve">Eve of war: Israel holds Sinai up to the Suez Canal and about half of the Golan Heights since 1967</t>
  </si>
  <si>
    <t xml:space="preserve">The canal is the ceasefire line. Date is the day before the attack, used as the Before War anchor.</t>
  </si>
  <si>
    <t xml:space="preserve">S1</t>
  </si>
  <si>
    <t xml:space="preserve">Verified (web search)</t>
  </si>
  <si>
    <t xml:space="preserve">High</t>
  </si>
  <si>
    <t xml:space="preserve">Military event</t>
  </si>
  <si>
    <t xml:space="preserve">Joint Egyptian and Syrian surprise attack on Yom Kippur, which fell in Ramadan</t>
  </si>
  <si>
    <t xml:space="preserve">Attack opens on the Sinai and Golan fronts.</t>
  </si>
  <si>
    <t xml:space="preserve">Air attack</t>
  </si>
  <si>
    <t xml:space="preserve">First Egyptian air strike: 220+ aircraft</t>
  </si>
  <si>
    <t xml:space="preserve">Figure is the Egyptian SIS account. Present with its source and viewpoint.</t>
  </si>
  <si>
    <t xml:space="preserve">S7</t>
  </si>
  <si>
    <t xml:space="preserve">From your brief, not independently verified</t>
  </si>
  <si>
    <t xml:space="preserve">Medium</t>
  </si>
  <si>
    <t xml:space="preserve">Canal crossing</t>
  </si>
  <si>
    <t xml:space="preserve">About 1,000 assault boats cross the canal; 60 gaps opened in the sand barrier; 8 heavy bridges, 4 light bridges and 30 ferries set up</t>
  </si>
  <si>
    <t xml:space="preserve">Egyptian SIS figures for the first hours.</t>
  </si>
  <si>
    <t xml:space="preserve">Territory / control</t>
  </si>
  <si>
    <t xml:space="preserve">Egyptian tanks and aircraft break through the Bar-Lev Line in the afternoon</t>
  </si>
  <si>
    <t xml:space="preserve">S9</t>
  </si>
  <si>
    <t xml:space="preserve">Golan</t>
  </si>
  <si>
    <t xml:space="preserve">Syrian troops attack Israeli positions on the Golan Heights</t>
  </si>
  <si>
    <t xml:space="preserve">Coordinated with the Egyptian attack.</t>
  </si>
  <si>
    <t xml:space="preserve">S2</t>
  </si>
  <si>
    <t xml:space="preserve">Casualty claims</t>
  </si>
  <si>
    <t xml:space="preserve">Egyptian communique on 6 Oct fighting claims 27 Israeli aircraft and 60 tanks destroyed, against 15 Egyptian aircraft</t>
  </si>
  <si>
    <t xml:space="preserve">Official Egyptian claim for one day; not a neutral count.</t>
  </si>
  <si>
    <t xml:space="preserve">Low</t>
  </si>
  <si>
    <t xml:space="preserve">Armor</t>
  </si>
  <si>
    <t xml:space="preserve">Israel launches its first counterattack against Egyptian forces; it fails</t>
  </si>
  <si>
    <t xml:space="preserve">S3</t>
  </si>
  <si>
    <t xml:space="preserve">Global / Diplomatic</t>
  </si>
  <si>
    <t xml:space="preserve">US memo records Israeli estimates of 49 aircraft and about 500 tanks lost</t>
  </si>
  <si>
    <t xml:space="preserve">Tank figure includes equipment out of service for a week or more.</t>
  </si>
  <si>
    <t xml:space="preserve">S8</t>
  </si>
  <si>
    <t xml:space="preserve">Israel attacks Syria from its Golan positions</t>
  </si>
  <si>
    <t xml:space="preserve">Diplomacy</t>
  </si>
  <si>
    <t xml:space="preserve">United States sends additional arms shipments to Israel (12 to 13 Oct)</t>
  </si>
  <si>
    <t xml:space="preserve">Large Egyptian armored offensive in Sinai is repulsed</t>
  </si>
  <si>
    <t xml:space="preserve">Widely described as a turning point; check exact tank counts before charting.</t>
  </si>
  <si>
    <t xml:space="preserve">Needs checking (model knowledge)</t>
  </si>
  <si>
    <t xml:space="preserve">United States begins a large airlift of supplies to Israel (Operation Nickel Grass)</t>
  </si>
  <si>
    <t xml:space="preserve">Start date should be confirmed against a primary source.</t>
  </si>
  <si>
    <t xml:space="preserve">S6</t>
  </si>
  <si>
    <t xml:space="preserve">First Israeli troops cross the Suez Canal</t>
  </si>
  <si>
    <t xml:space="preserve">Economic</t>
  </si>
  <si>
    <t xml:space="preserve">Arab oil ministers announce production cuts until Israel withdraws</t>
  </si>
  <si>
    <t xml:space="preserve">Start of the oil weapon.</t>
  </si>
  <si>
    <t xml:space="preserve">Nixon asks Congress for $2.2 billion emergency aid for Israel; OAPEC embargo on the US follows</t>
  </si>
  <si>
    <t xml:space="preserve">Sources date the embargo from 17 to 20 Oct; 19 Oct follows the Federal Reserve account.</t>
  </si>
  <si>
    <t xml:space="preserve">S5</t>
  </si>
  <si>
    <t xml:space="preserve">Israeli forces led by Maj. Gen. Adan encircle the Egyptian Third Army</t>
  </si>
  <si>
    <t xml:space="preserve">UN notes an Israeli armored column across the canal and the Third Army about to be cut off.</t>
  </si>
  <si>
    <t xml:space="preserve">UN Security Council Resolution 338 calls for a ceasefire within 12 hours</t>
  </si>
  <si>
    <t xml:space="preserve">Adopted 14 to 0.</t>
  </si>
  <si>
    <t xml:space="preserve">S10</t>
  </si>
  <si>
    <t xml:space="preserve">Israel takes the Syrian positions on Mount Hermon</t>
  </si>
  <si>
    <t xml:space="preserve">Egypt accepts Resolution 338; Syria accepts the next day</t>
  </si>
  <si>
    <t xml:space="preserve">Fighting continues despite the ceasefire; Israeli forces cut the Third Army off from its supply sources</t>
  </si>
  <si>
    <t xml:space="preserve">Each side blamed the other for the breach.</t>
  </si>
  <si>
    <t xml:space="preserve">S4</t>
  </si>
  <si>
    <t xml:space="preserve">UN Security Council Resolution 339 confirms the ceasefire and asks for observers</t>
  </si>
  <si>
    <t xml:space="preserve">Demands return to 22 Oct positions.</t>
  </si>
  <si>
    <t xml:space="preserve">Second ceasefire takes effect but fighting continues between Egypt and Israel</t>
  </si>
  <si>
    <t xml:space="preserve">UN Security Council Resolution 340 demands a full ceasefire and return to 22 Oct (1650 GMT) positions; creates UNEF II</t>
  </si>
  <si>
    <t xml:space="preserve">US raises alert from DEFCON 4 to 3 amid US-Soviet tension; the Soviet threat is withdrawn</t>
  </si>
  <si>
    <t xml:space="preserve">Alert came on the night of 24 to 25 Oct.</t>
  </si>
  <si>
    <t xml:space="preserve">Forces at the start of the war</t>
  </si>
  <si>
    <t xml:space="preserve">Ranges are the spread between published estimates. Mid = simple average of Low and High (a convenience, not a statistic).</t>
  </si>
  <si>
    <t xml:space="preserve">Side</t>
  </si>
  <si>
    <t xml:space="preserve">Metric</t>
  </si>
  <si>
    <t xml:space="preserve">Mid</t>
  </si>
  <si>
    <t xml:space="preserve">Unit</t>
  </si>
  <si>
    <t xml:space="preserve">Note</t>
  </si>
  <si>
    <t xml:space="preserve">troops</t>
  </si>
  <si>
    <t xml:space="preserve">Mobilized strength range.</t>
  </si>
  <si>
    <t xml:space="preserve">tanks</t>
  </si>
  <si>
    <t xml:space="preserve">Armored carriers</t>
  </si>
  <si>
    <t xml:space="preserve">vehicles</t>
  </si>
  <si>
    <t xml:space="preserve">units</t>
  </si>
  <si>
    <t xml:space="preserve">aircraft</t>
  </si>
  <si>
    <t xml:space="preserve">Troops that crossed the canal: sources say 100,000 to 200,000.</t>
  </si>
  <si>
    <t xml:space="preserve">1,020 crossed the canal (see Operations).</t>
  </si>
  <si>
    <t xml:space="preserve">Helicopters</t>
  </si>
  <si>
    <t xml:space="preserve">helicopters</t>
  </si>
  <si>
    <t xml:space="preserve">Naval vessels</t>
  </si>
  <si>
    <t xml:space="preserve">vessels</t>
  </si>
  <si>
    <t xml:space="preserve">Surface-to-air missile batteries</t>
  </si>
  <si>
    <t xml:space="preserve">batteries</t>
  </si>
  <si>
    <t xml:space="preserve">62 in the front line.</t>
  </si>
  <si>
    <t xml:space="preserve">Arab expeditionary forces</t>
  </si>
  <si>
    <t xml:space="preserve">Aggregate of Iraq and others as listed by the source.</t>
  </si>
  <si>
    <t xml:space="preserve">Saudi Arabia</t>
  </si>
  <si>
    <t xml:space="preserve">About 3,000 crossed.</t>
  </si>
  <si>
    <t xml:space="preserve">Morocco</t>
  </si>
  <si>
    <t xml:space="preserve">Cuba</t>
  </si>
  <si>
    <t xml:space="preserve">Arab coalition total</t>
  </si>
  <si>
    <t xml:space="preserve">Casualties and equipment losses</t>
  </si>
  <si>
    <t xml:space="preserve">Figures are disputed. Each row carries its perspective and source; do not present a single row as neutral fact. Mid = average of Low and High.</t>
  </si>
  <si>
    <t xml:space="preserve">Perspective</t>
  </si>
  <si>
    <t xml:space="preserve">people</t>
  </si>
  <si>
    <t xml:space="preserve">Compiled estimates</t>
  </si>
  <si>
    <t xml:space="preserve">About 600 more were damaged or captured; many returned to service.</t>
  </si>
  <si>
    <t xml:space="preserve">Armored vehicles destroyed or captured</t>
  </si>
  <si>
    <t xml:space="preserve">Wide range, treat with care.</t>
  </si>
  <si>
    <t xml:space="preserve">Very wide range.</t>
  </si>
  <si>
    <t xml:space="preserve">Iraq</t>
  </si>
  <si>
    <t xml:space="preserve">898 wounded, 13 captured.</t>
  </si>
  <si>
    <t xml:space="preserve">Jordan</t>
  </si>
  <si>
    <t xml:space="preserve">77 wounded.</t>
  </si>
  <si>
    <t xml:space="preserve">250 wounded.</t>
  </si>
  <si>
    <t xml:space="preserve">6 captured.</t>
  </si>
  <si>
    <t xml:space="preserve">Kuwait</t>
  </si>
  <si>
    <t xml:space="preserve">Destroyed or captured by some counts.</t>
  </si>
  <si>
    <t xml:space="preserve">Naval vessels sunk</t>
  </si>
  <si>
    <t xml:space="preserve">Early claim: Israeli losses</t>
  </si>
  <si>
    <t xml:space="preserve">Aircraft</t>
  </si>
  <si>
    <t xml:space="preserve">Egyptian official claim (7 Oct, covers 6 Oct)</t>
  </si>
  <si>
    <t xml:space="preserve">From your brief; present with its source.</t>
  </si>
  <si>
    <t xml:space="preserve">From your brief.</t>
  </si>
  <si>
    <t xml:space="preserve">Early claim: Egyptian losses</t>
  </si>
  <si>
    <t xml:space="preserve">Early estimate: Israeli losses</t>
  </si>
  <si>
    <t xml:space="preserve">Israeli estimate recorded in US memo (9 Oct)</t>
  </si>
  <si>
    <t xml:space="preserve">About 500; includes tanks out of service a week or more.</t>
  </si>
  <si>
    <t xml:space="preserve">Key operations: crossing and air strike</t>
  </si>
  <si>
    <t xml:space="preserve">Egyptian figures marked B come from your brief (attributed to Egypt's SIS) and were not independently checked.</t>
  </si>
  <si>
    <t xml:space="preserve">Operation</t>
  </si>
  <si>
    <t xml:space="preserve">Value</t>
  </si>
  <si>
    <t xml:space="preserve">Egyptian first air strike, 6 Oct</t>
  </si>
  <si>
    <t xml:space="preserve">Aircraft participating</t>
  </si>
  <si>
    <t xml:space="preserve">Egyptian official</t>
  </si>
  <si>
    <t xml:space="preserve">"More than 220".</t>
  </si>
  <si>
    <t xml:space="preserve">Suez Canal crossing, 6 Oct</t>
  </si>
  <si>
    <t xml:space="preserve">Assault boats</t>
  </si>
  <si>
    <t xml:space="preserve">boats</t>
  </si>
  <si>
    <t xml:space="preserve">About 1,000.</t>
  </si>
  <si>
    <t xml:space="preserve">Gaps opened in sand barrier</t>
  </si>
  <si>
    <t xml:space="preserve">gaps</t>
  </si>
  <si>
    <t xml:space="preserve">Within the first hours.</t>
  </si>
  <si>
    <t xml:space="preserve">Heavy bridges built</t>
  </si>
  <si>
    <t xml:space="preserve">bridges</t>
  </si>
  <si>
    <t xml:space="preserve">Light bridges built</t>
  </si>
  <si>
    <t xml:space="preserve">Ferries</t>
  </si>
  <si>
    <t xml:space="preserve">ferries</t>
  </si>
  <si>
    <t xml:space="preserve">Egyptian crossing force</t>
  </si>
  <si>
    <t xml:space="preserve">Tanks that crossed</t>
  </si>
  <si>
    <t xml:space="preserve">Of about 1,700 tanks.</t>
  </si>
  <si>
    <t xml:space="preserve">Surface-to-air missile batteries (front line)</t>
  </si>
  <si>
    <t xml:space="preserve">Of 150 in total.</t>
  </si>
  <si>
    <t xml:space="preserve">Israeli crossing, Operation Abirey-Lev</t>
  </si>
  <si>
    <t xml:space="preserve">First Israeli troops cross the canal</t>
  </si>
  <si>
    <t xml:space="preserve">date: 16 Oct 1973</t>
  </si>
  <si>
    <t xml:space="preserve">Israeli / secondary</t>
  </si>
  <si>
    <t xml:space="preserve">See Timeline.</t>
  </si>
  <si>
    <t xml:space="preserve">Total bridges and ferries (first hours)</t>
  </si>
  <si>
    <t xml:space="preserve">bridges + ferries</t>
  </si>
  <si>
    <t xml:space="preserve">Diplomatic developments</t>
  </si>
  <si>
    <t xml:space="preserve">UN resolution wording summarized, not quoted.</t>
  </si>
  <si>
    <t xml:space="preserve">Item</t>
  </si>
  <si>
    <t xml:space="preserve">What it did</t>
  </si>
  <si>
    <t xml:space="preserve">UN Security Council Res. 338</t>
  </si>
  <si>
    <t xml:space="preserve">Called for a ceasefire within 12 hours, implementation of Res. 242 and negotiations; adopted 14 to 0.</t>
  </si>
  <si>
    <t xml:space="preserve">Egypt accepts Res. 338</t>
  </si>
  <si>
    <t xml:space="preserve">Egypt accepted at once; Syria followed the next day.</t>
  </si>
  <si>
    <t xml:space="preserve">UN Security Council Res. 339</t>
  </si>
  <si>
    <t xml:space="preserve">Confirmed the ceasefire, demanded return to 22 Oct positions, asked for UN observers.</t>
  </si>
  <si>
    <t xml:space="preserve">UN Security Council Res. 340</t>
  </si>
  <si>
    <t xml:space="preserve">Demanded an immediate full ceasefire and return to 22 Oct (1650 GMT) positions; set up a new peacekeeping force (UNEF II).</t>
  </si>
  <si>
    <t xml:space="preserve">US alert raised to DEFCON 3</t>
  </si>
  <si>
    <t xml:space="preserve">From level 4 to 3 during US-Soviet tension over the ceasefire.</t>
  </si>
  <si>
    <t xml:space="preserve">UN Security Council Res. 341</t>
  </si>
  <si>
    <t xml:space="preserve">Approved the Secretary-General's report on setting up UNEF II.</t>
  </si>
  <si>
    <t xml:space="preserve">Egypt commits to full ceasefire</t>
  </si>
  <si>
    <t xml:space="preserve">Egypt's reply included a commitment to put the ceasefire fully into effect at 13:00 on 27 Oct (per Israeli PM statement).</t>
  </si>
  <si>
    <t xml:space="preserve">S11</t>
  </si>
  <si>
    <t xml:space="preserve">Egypt-Israel disengagement agreement</t>
  </si>
  <si>
    <t xml:space="preserve">First disengagement agreement after the war.</t>
  </si>
  <si>
    <t xml:space="preserve">Oil embargo officially ended</t>
  </si>
  <si>
    <t xml:space="preserve">Date per one source; another source gives a window running to 17 May 1974.</t>
  </si>
  <si>
    <t xml:space="preserve">S13</t>
  </si>
  <si>
    <t xml:space="preserve">Economic impact: oil prices</t>
  </si>
  <si>
    <t xml:space="preserve">Price in US dollars per barrel. Change is a formula against the pre-embargo price in C5.</t>
  </si>
  <si>
    <t xml:space="preserve">Milestone</t>
  </si>
  <si>
    <t xml:space="preserve">Price (USD/bbl)</t>
  </si>
  <si>
    <t xml:space="preserve">Change vs pre-embargo</t>
  </si>
  <si>
    <t xml:space="preserve">Before 17 Oct 1973</t>
  </si>
  <si>
    <t xml:space="preserve">Price before the embargo</t>
  </si>
  <si>
    <t xml:space="preserve">Baseline.</t>
  </si>
  <si>
    <t xml:space="preserve">Oct 1973</t>
  </si>
  <si>
    <t xml:space="preserve">Posted price raised</t>
  </si>
  <si>
    <t xml:space="preserve">S12</t>
  </si>
  <si>
    <t xml:space="preserve">One source gives 5.11 and another 5.12; the Dec 1973 rise is quoted from 5.12.</t>
  </si>
  <si>
    <t xml:space="preserve">22 Dec 1973</t>
  </si>
  <si>
    <t xml:space="preserve">Posted price announced</t>
  </si>
  <si>
    <t xml:space="preserve">Jan 1974</t>
  </si>
  <si>
    <t xml:space="preserve">Price reaches its peak level</t>
  </si>
  <si>
    <t xml:space="preserve">Also cited by S6.</t>
  </si>
  <si>
    <t xml:space="preserve">Embargo and supply events</t>
  </si>
  <si>
    <t xml:space="preserve">17 Oct 1973</t>
  </si>
  <si>
    <t xml:space="preserve">Arab oil ministers announce production cuts</t>
  </si>
  <si>
    <t xml:space="preserve">Cuts of 5% a month were announced until Israel withdrew (per S12).</t>
  </si>
  <si>
    <t xml:space="preserve">19 Oct 1973</t>
  </si>
  <si>
    <t xml:space="preserve">OAPEC embargo on the US after Nixon's $2.2 billion aid request</t>
  </si>
  <si>
    <t xml:space="preserve">Mar 1974</t>
  </si>
  <si>
    <t xml:space="preserve">Embargo lifted</t>
  </si>
  <si>
    <t xml:space="preserve">S13 gives 18 Mar 1974.</t>
  </si>
  <si>
    <t xml:space="preserve">Date spine for dashboards</t>
  </si>
  <si>
    <t xml:space="preserve">One row per day, 6 to 25 Oct 1973. Event counts come from the Timeline. Add daily metrics in new columns as you source them.</t>
  </si>
  <si>
    <t xml:space="preserve">Events on Timeline</t>
  </si>
  <si>
    <t xml:space="preserve">Egypt (Sinai) events</t>
  </si>
  <si>
    <t xml:space="preserve">Golan events</t>
  </si>
  <si>
    <t xml:space="preserve">Diplomatic / global events</t>
  </si>
  <si>
    <t xml:space="preserve">Sources</t>
  </si>
  <si>
    <t xml:space="preserve">IDs match the Source columns on every sheet.</t>
  </si>
  <si>
    <t xml:space="preserve">ID</t>
  </si>
  <si>
    <t xml:space="preserve">URL</t>
  </si>
  <si>
    <t xml:space="preserve">Type</t>
  </si>
  <si>
    <t xml:space="preserve">Used for</t>
  </si>
  <si>
    <t xml:space="preserve">Wikipedia: Yom Kippur War</t>
  </si>
  <si>
    <t xml:space="preserve">https://en.wikipedia.org/wiki/Yom_Kippur_War</t>
  </si>
  <si>
    <t xml:space="preserve">Compiled / secondary</t>
  </si>
  <si>
    <t xml:space="preserve">Forces, casualties, equipment losses, 1967 context</t>
  </si>
  <si>
    <t xml:space="preserve">UN Peacekeeping: UNEF II background</t>
  </si>
  <si>
    <t xml:space="preserve">https://peacekeeping.un.org/sites/default/files/past/unef2backgr2.html</t>
  </si>
  <si>
    <t xml:space="preserve">Primary / UN</t>
  </si>
  <si>
    <t xml:space="preserve">Resolutions 338, 339, 340, 341; Third Army situation 21 Oct</t>
  </si>
  <si>
    <t xml:space="preserve">JWeekly: Yom Kippur War timeline</t>
  </si>
  <si>
    <t xml:space="preserve">https://jweekly.com/?p=16393</t>
  </si>
  <si>
    <t xml:space="preserve">Secondary</t>
  </si>
  <si>
    <t xml:space="preserve">Daily events 8 to 25 Oct, oil production cut 17 Oct</t>
  </si>
  <si>
    <t xml:space="preserve">Israel State Archives: 23 Oct 1973</t>
  </si>
  <si>
    <t xml:space="preserve">https://catalog.archives.gov.il/en/?p=23727</t>
  </si>
  <si>
    <t xml:space="preserve">Primary / Israeli archive</t>
  </si>
  <si>
    <t xml:space="preserve">Ceasefire fighting 23 Oct, Third Army cut off</t>
  </si>
  <si>
    <t xml:space="preserve">Federal Reserve History: Oil Shock of 1973-74</t>
  </si>
  <si>
    <t xml:space="preserve">https://www.federalreservehistory.org/essays/oil-shock-of-1973-74</t>
  </si>
  <si>
    <t xml:space="preserve">Primary / US central bank</t>
  </si>
  <si>
    <t xml:space="preserve">Embargo date, $2.90 to $11.65 oil price</t>
  </si>
  <si>
    <t xml:space="preserve">EBSCO Research Starter: Oil embargo 1973-74</t>
  </si>
  <si>
    <t xml:space="preserve">https://www.ebsco.com/research-starters/history/oil-embargo-1973-1974/</t>
  </si>
  <si>
    <t xml:space="preserve">Embargo timing, 18 Jan 1974 disengagement</t>
  </si>
  <si>
    <t xml:space="preserve">Egyptian State Information Service (SIS), as quoted in your brief</t>
  </si>
  <si>
    <t xml:space="preserve">(no URL supplied)</t>
  </si>
  <si>
    <t xml:space="preserve">First-day air strike and crossing figures, 7 Oct communique</t>
  </si>
  <si>
    <t xml:space="preserve">US diplomatic archive memo, 9 Oct 1973, as quoted in your brief</t>
  </si>
  <si>
    <t xml:space="preserve">US archive quoting Israeli estimates</t>
  </si>
  <si>
    <t xml:space="preserve">Early Israeli loss estimates</t>
  </si>
  <si>
    <t xml:space="preserve">Palquest: Overall chronology, October 1973 War</t>
  </si>
  <si>
    <t xml:space="preserve">https://palquest.org/en/overallchronology?nid=166</t>
  </si>
  <si>
    <t xml:space="preserve">Bar-Lev breach, acceptance of 338, DEFCON 3</t>
  </si>
  <si>
    <t xml:space="preserve">UN Digital Library: S/RES/340 (1973)</t>
  </si>
  <si>
    <t xml:space="preserve">https://digitallibrary.un.org/record/93468/files/S_RES_340%281973%29-FR.pdf</t>
  </si>
  <si>
    <t xml:space="preserve">Text and vote of resolutions 338 to 341</t>
  </si>
  <si>
    <t xml:space="preserve">Golda Meir statement to the Knesset, 13 Nov 1973 (Jewish Virtual Library)</t>
  </si>
  <si>
    <t xml:space="preserve">https://www.jewishvirtuallibrary.org/statement-to-the-knesset-by-prime-minister-golda-meir-november-13-1973</t>
  </si>
  <si>
    <t xml:space="preserve">Primary / Israeli government</t>
  </si>
  <si>
    <t xml:space="preserve">Ceasefire sequence, 27 Oct full ceasefire</t>
  </si>
  <si>
    <t xml:space="preserve">Benzinga: OPEC price hikes 1973</t>
  </si>
  <si>
    <t xml:space="preserve">https://benzinga.com/general/education/17/12/10950992/this-day-in-market-history-opec-raises-oil-price-to-7-per-barrel</t>
  </si>
  <si>
    <t xml:space="preserve">Oct and Dec 1973 posted prices</t>
  </si>
  <si>
    <t xml:space="preserve">AAPG Explorer: The Embargo</t>
  </si>
  <si>
    <t xml:space="preserve">https://www.aapg.org/news-and-media/details/explorer/articleid/45784/leader-skills-vital-for-career-aapg</t>
  </si>
  <si>
    <t xml:space="preserve">Embargo end date 18 Mar 1974</t>
  </si>
  <si>
    <t xml:space="preserve">Lists and phase definitions</t>
  </si>
  <si>
    <t xml:space="preserve">Phase start dates are analyst-defined (editable). The Timeline phase column looks these up by date.</t>
  </si>
  <si>
    <t xml:space="preserve">Phase start</t>
  </si>
  <si>
    <t xml:space="preserve">Rule</t>
  </si>
  <si>
    <t xml:space="preserve">Before War</t>
  </si>
  <si>
    <t xml:space="preserve">Before 6 Oct</t>
  </si>
  <si>
    <t xml:space="preserve">6 October</t>
  </si>
  <si>
    <t xml:space="preserve">Day 1</t>
  </si>
  <si>
    <t xml:space="preserve">First Week</t>
  </si>
  <si>
    <t xml:space="preserve">7 to 13 Oct</t>
  </si>
  <si>
    <t xml:space="preserve">Counteroffensive</t>
  </si>
  <si>
    <t xml:space="preserve">14 to 21 Oct</t>
  </si>
  <si>
    <t xml:space="preserve">Ceasefire</t>
  </si>
  <si>
    <t xml:space="preserve">22 Oct onward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</si>
</sst>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\x"/>
    <numFmt numFmtId="168" formatCode="dd\-mmm\-yyyy"/>
    <numFmt numFmtId="169" formatCode="\$#,##0.00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F6B5D"/>
      <name val="Arial"/>
      <family val="0"/>
      <charset val="1"/>
    </font>
    <font>
      <i val="true"/>
      <sz val="9"/>
      <color rgb="FF6A5A52"/>
      <name val="Arial"/>
      <family val="0"/>
      <charset val="1"/>
    </font>
    <font>
      <b val="true"/>
      <sz val="10"/>
      <color rgb="FF4F6B5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6B5D"/>
        <bgColor rgb="FF5C606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6CC"/>
      </left>
      <right style="thin">
        <color rgb="FFE2D6CC"/>
      </right>
      <top style="thin">
        <color rgb="FFE2D6CC"/>
      </top>
      <bottom style="thin">
        <color rgb="FFE2D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F6B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AB"/>
      <rgbColor rgb="FF4F6B5D"/>
      <rgbColor rgb="FF9999FF"/>
      <rgbColor rgb="FF8A5A44"/>
      <rgbColor rgb="FFFFFFCC"/>
      <rgbColor rgb="FFCCFFFF"/>
      <rgbColor rgb="FF660066"/>
      <rgbColor rgb="FFFF8080"/>
      <rgbColor rgb="FF0066CC"/>
      <rgbColor rgb="FFE2D6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063"/>
      <rgbColor rgb="FF969696"/>
      <rgbColor rgb="FF003366"/>
      <rgbColor rgb="FF339966"/>
      <rgbColor rgb="FF003300"/>
      <rgbColor rgb="FF333300"/>
      <rgbColor rgb="FF993300"/>
      <rgbColor rgb="FF6A5A52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B5D"/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4" t="s">
        <v>16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3" t="s">
        <v>17</v>
      </c>
    </row>
    <row r="22" customFormat="false" ht="23.8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44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5" t="s">
        <v>22</v>
      </c>
      <c r="B4" s="5" t="s">
        <v>23</v>
      </c>
    </row>
    <row r="5" customFormat="false" ht="15" hidden="false" customHeight="false" outlineLevel="0" collapsed="false">
      <c r="A5" s="6" t="str">
        <f aca="false">Lists!B5</f>
        <v>Before War</v>
      </c>
      <c r="B5" s="7" t="n">
        <f aca="false">COUNTIF(Timeline!$C$5:$C$89,A5)</f>
        <v>1</v>
      </c>
    </row>
    <row r="6" customFormat="false" ht="15" hidden="false" customHeight="false" outlineLevel="0" collapsed="false">
      <c r="A6" s="6" t="str">
        <f aca="false">Lists!B6</f>
        <v>6 October</v>
      </c>
      <c r="B6" s="7" t="n">
        <f aca="false">COUNTIF(Timeline!$C$5:$C$89,A6)</f>
        <v>5</v>
      </c>
    </row>
    <row r="7" customFormat="false" ht="15" hidden="false" customHeight="false" outlineLevel="0" collapsed="false">
      <c r="A7" s="6" t="str">
        <f aca="false">Lists!B7</f>
        <v>First Week</v>
      </c>
      <c r="B7" s="7" t="n">
        <f aca="false">COUNTIF(Timeline!$C$5:$C$89,A7)</f>
        <v>5</v>
      </c>
    </row>
    <row r="8" customFormat="false" ht="15" hidden="false" customHeight="false" outlineLevel="0" collapsed="false">
      <c r="A8" s="6" t="str">
        <f aca="false">Lists!B8</f>
        <v>Counteroffensive</v>
      </c>
      <c r="B8" s="7" t="n">
        <f aca="false">COUNTIF(Timeline!$C$5:$C$89,A8)</f>
        <v>6</v>
      </c>
    </row>
    <row r="9" customFormat="false" ht="15" hidden="false" customHeight="false" outlineLevel="0" collapsed="false">
      <c r="A9" s="6" t="str">
        <f aca="false">Lists!B9</f>
        <v>Ceasefire</v>
      </c>
      <c r="B9" s="7" t="n">
        <f aca="false">COUNTIF(Timeline!$C$5:$C$89,A9)</f>
        <v>8</v>
      </c>
    </row>
    <row r="12" customFormat="false" ht="15" hidden="false" customHeight="false" outlineLevel="0" collapsed="false">
      <c r="A12" s="5" t="s">
        <v>24</v>
      </c>
      <c r="B12" s="5" t="s">
        <v>23</v>
      </c>
    </row>
    <row r="13" customFormat="false" ht="15" hidden="false" customHeight="false" outlineLevel="0" collapsed="false">
      <c r="A13" s="6" t="str">
        <f aca="false">Lists!B13</f>
        <v>Context</v>
      </c>
      <c r="B13" s="7" t="n">
        <f aca="false">COUNTIF(Timeline!$E$5:$E$89,A13)</f>
        <v>1</v>
      </c>
    </row>
    <row r="14" customFormat="false" ht="15" hidden="false" customHeight="false" outlineLevel="0" collapsed="false">
      <c r="A14" s="6" t="str">
        <f aca="false">Lists!B14</f>
        <v>Military event</v>
      </c>
      <c r="B14" s="7" t="n">
        <f aca="false">COUNTIF(Timeline!$E$5:$E$89,A14)</f>
        <v>6</v>
      </c>
    </row>
    <row r="15" customFormat="false" ht="15" hidden="false" customHeight="false" outlineLevel="0" collapsed="false">
      <c r="A15" s="6" t="str">
        <f aca="false">Lists!B15</f>
        <v>Air attack</v>
      </c>
      <c r="B15" s="7" t="n">
        <f aca="false">COUNTIF(Timeline!$E$5:$E$89,A15)</f>
        <v>1</v>
      </c>
    </row>
    <row r="16" customFormat="false" ht="15" hidden="false" customHeight="false" outlineLevel="0" collapsed="false">
      <c r="A16" s="6" t="str">
        <f aca="false">Lists!B16</f>
        <v>Canal crossing</v>
      </c>
      <c r="B16" s="7" t="n">
        <f aca="false">COUNTIF(Timeline!$E$5:$E$89,A16)</f>
        <v>2</v>
      </c>
    </row>
    <row r="17" customFormat="false" ht="15" hidden="false" customHeight="false" outlineLevel="0" collapsed="false">
      <c r="A17" s="6" t="str">
        <f aca="false">Lists!B17</f>
        <v>Armor</v>
      </c>
      <c r="B17" s="7" t="n">
        <f aca="false">COUNTIF(Timeline!$E$5:$E$89,A17)</f>
        <v>2</v>
      </c>
    </row>
    <row r="18" customFormat="false" ht="15" hidden="false" customHeight="false" outlineLevel="0" collapsed="false">
      <c r="A18" s="6" t="str">
        <f aca="false">Lists!B18</f>
        <v>Casualty claims</v>
      </c>
      <c r="B18" s="7" t="n">
        <f aca="false">COUNTIF(Timeline!$E$5:$E$89,A18)</f>
        <v>2</v>
      </c>
    </row>
    <row r="19" customFormat="false" ht="15" hidden="false" customHeight="false" outlineLevel="0" collapsed="false">
      <c r="A19" s="6" t="str">
        <f aca="false">Lists!B19</f>
        <v>Territory / control</v>
      </c>
      <c r="B19" s="7" t="n">
        <f aca="false">COUNTIF(Timeline!$E$5:$E$89,A19)</f>
        <v>3</v>
      </c>
    </row>
    <row r="20" customFormat="false" ht="15" hidden="false" customHeight="false" outlineLevel="0" collapsed="false">
      <c r="A20" s="6" t="str">
        <f aca="false">Lists!B20</f>
        <v>Diplomacy</v>
      </c>
      <c r="B20" s="7" t="n">
        <f aca="false">COUNTIF(Timeline!$E$5:$E$89,A20)</f>
        <v>6</v>
      </c>
    </row>
    <row r="21" customFormat="false" ht="15" hidden="false" customHeight="false" outlineLevel="0" collapsed="false">
      <c r="A21" s="6" t="str">
        <f aca="false">Lists!B21</f>
        <v>Economic</v>
      </c>
      <c r="B21" s="7" t="n">
        <f aca="false">COUNTIF(Timeline!$E$5:$E$89,A21)</f>
        <v>2</v>
      </c>
    </row>
    <row r="24" customFormat="false" ht="15" hidden="false" customHeight="false" outlineLevel="0" collapsed="false">
      <c r="A24" s="5" t="s">
        <v>25</v>
      </c>
      <c r="B24" s="5" t="s">
        <v>26</v>
      </c>
      <c r="C24" s="5" t="s">
        <v>27</v>
      </c>
      <c r="D24" s="5" t="s">
        <v>28</v>
      </c>
    </row>
    <row r="25" customFormat="false" ht="15" hidden="false" customHeight="false" outlineLevel="0" collapsed="false">
      <c r="A25" s="6" t="s">
        <v>29</v>
      </c>
      <c r="B25" s="8" t="n">
        <f aca="false">Losses!E5</f>
        <v>2660.5</v>
      </c>
      <c r="C25" s="8" t="n">
        <f aca="false">Losses!E22</f>
        <v>13250</v>
      </c>
      <c r="D25" s="9" t="n">
        <f aca="false">IFERROR(C25/B25,"n/a")</f>
        <v>4.98026686713024</v>
      </c>
    </row>
    <row r="26" customFormat="false" ht="15" hidden="false" customHeight="false" outlineLevel="0" collapsed="false">
      <c r="A26" s="6" t="s">
        <v>30</v>
      </c>
      <c r="B26" s="8" t="n">
        <f aca="false">Losses!E6</f>
        <v>8025</v>
      </c>
      <c r="C26" s="8" t="n">
        <f aca="false">Losses!E23</f>
        <v>26500</v>
      </c>
      <c r="D26" s="9" t="n">
        <f aca="false">IFERROR(C26/B26,"n/a")</f>
        <v>3.30218068535826</v>
      </c>
    </row>
    <row r="27" customFormat="false" ht="15" hidden="false" customHeight="false" outlineLevel="0" collapsed="false">
      <c r="A27" s="6" t="s">
        <v>31</v>
      </c>
      <c r="B27" s="8" t="n">
        <f aca="false">Losses!E8</f>
        <v>600</v>
      </c>
      <c r="C27" s="8" t="n">
        <f aca="false">Losses!E25</f>
        <v>2275</v>
      </c>
      <c r="D27" s="9" t="n">
        <f aca="false">IFERROR(C27/B27,"n/a")</f>
        <v>3.79166666666667</v>
      </c>
    </row>
    <row r="28" customFormat="false" ht="15" hidden="false" customHeight="false" outlineLevel="0" collapsed="false">
      <c r="A28" s="6" t="s">
        <v>32</v>
      </c>
      <c r="B28" s="8" t="n">
        <f aca="false">Losses!E10</f>
        <v>244.5</v>
      </c>
      <c r="C28" s="8" t="n">
        <f aca="false">Losses!E26</f>
        <v>427.5</v>
      </c>
      <c r="D28" s="9" t="n">
        <f aca="false">IFERROR(C28/B28,"n/a")</f>
        <v>1.74846625766871</v>
      </c>
    </row>
    <row r="29" customFormat="false" ht="15" hidden="false" customHeight="false" outlineLevel="0" collapsed="false">
      <c r="A29" s="6" t="s">
        <v>33</v>
      </c>
      <c r="B29" s="8" t="n">
        <f aca="false">Losses!E7</f>
        <v>293</v>
      </c>
      <c r="C29" s="8" t="n">
        <f aca="false">Losses!E24</f>
        <v>8783</v>
      </c>
      <c r="D29" s="9" t="n">
        <f aca="false">IFERROR(C29/B29,"n/a")</f>
        <v>29.9761092150171</v>
      </c>
    </row>
    <row r="32" customFormat="false" ht="15" hidden="false" customHeight="false" outlineLevel="0" collapsed="false">
      <c r="A32" s="5" t="s">
        <v>34</v>
      </c>
      <c r="B32" s="5" t="s">
        <v>26</v>
      </c>
      <c r="C32" s="5" t="s">
        <v>35</v>
      </c>
      <c r="D32" s="5" t="s">
        <v>36</v>
      </c>
    </row>
    <row r="33" customFormat="false" ht="15" hidden="false" customHeight="false" outlineLevel="0" collapsed="false">
      <c r="A33" s="6" t="s">
        <v>37</v>
      </c>
      <c r="B33" s="8" t="n">
        <f aca="false">Forces!E5</f>
        <v>395000</v>
      </c>
      <c r="C33" s="8" t="n">
        <f aca="false">Forces!E10</f>
        <v>750000</v>
      </c>
      <c r="D33" s="8" t="n">
        <f aca="false">Forces!E18</f>
        <v>225000</v>
      </c>
    </row>
    <row r="34" customFormat="false" ht="15" hidden="false" customHeight="false" outlineLevel="0" collapsed="false">
      <c r="A34" s="6" t="s">
        <v>38</v>
      </c>
      <c r="B34" s="8" t="n">
        <f aca="false">Forces!E6</f>
        <v>1700</v>
      </c>
      <c r="C34" s="8" t="n">
        <f aca="false">Forces!E11</f>
        <v>1700</v>
      </c>
      <c r="D34" s="8" t="n">
        <f aca="false">Forces!E19</f>
        <v>1200</v>
      </c>
    </row>
    <row r="35" customFormat="false" ht="15" hidden="false" customHeight="false" outlineLevel="0" collapsed="false">
      <c r="A35" s="6" t="s">
        <v>39</v>
      </c>
      <c r="B35" s="8" t="n">
        <f aca="false">Forces!E9</f>
        <v>440</v>
      </c>
      <c r="C35" s="8" t="n">
        <f aca="false">Forces!E14</f>
        <v>400</v>
      </c>
      <c r="D35" s="8" t="s">
        <v>40</v>
      </c>
    </row>
    <row r="36" customFormat="false" ht="15" hidden="false" customHeight="false" outlineLevel="0" collapsed="false">
      <c r="A36" s="6" t="s">
        <v>41</v>
      </c>
      <c r="B36" s="8" t="n">
        <f aca="false">Forces!E8</f>
        <v>945</v>
      </c>
      <c r="C36" s="8" t="n">
        <f aca="false">Forces!E13</f>
        <v>1120</v>
      </c>
      <c r="D36" s="8" t="n">
        <f aca="false">Forces!E21</f>
        <v>600</v>
      </c>
    </row>
    <row r="38" customFormat="false" ht="35.05" hidden="false" customHeight="false" outlineLevel="0" collapsed="false">
      <c r="A38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B5D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62"/>
    <col collapsed="false" customWidth="true" hidden="false" outlineLevel="0" max="7" min="7" style="0" width="48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23.85" hidden="false" customHeight="false" outlineLevel="0" collapsed="false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</row>
    <row r="5" customFormat="false" ht="23.85" hidden="false" customHeight="false" outlineLevel="0" collapsed="false">
      <c r="A5" s="10" t="n">
        <v>26942</v>
      </c>
      <c r="B5" s="7" t="n">
        <f aca="false">A5-DATE(1973,10,6)+1</f>
        <v>0</v>
      </c>
      <c r="C5" s="6" t="str">
        <f aca="false">INDEX(Lists!$B$5:$B$9,MATCH(A5,Lists!$A$5:$A$9,1))</f>
        <v>Before War</v>
      </c>
      <c r="D5" s="11" t="s">
        <v>55</v>
      </c>
      <c r="E5" s="11" t="s">
        <v>56</v>
      </c>
      <c r="F5" s="11" t="s">
        <v>57</v>
      </c>
      <c r="G5" s="11" t="s">
        <v>58</v>
      </c>
      <c r="H5" s="11" t="s">
        <v>59</v>
      </c>
      <c r="I5" s="11" t="s">
        <v>60</v>
      </c>
      <c r="J5" s="11" t="s">
        <v>61</v>
      </c>
    </row>
    <row r="6" customFormat="false" ht="23.85" hidden="false" customHeight="false" outlineLevel="0" collapsed="false">
      <c r="A6" s="10" t="n">
        <v>26943</v>
      </c>
      <c r="B6" s="7" t="n">
        <f aca="false">A6-DATE(1973,10,6)+1</f>
        <v>1</v>
      </c>
      <c r="C6" s="6" t="str">
        <f aca="false">INDEX(Lists!$B$5:$B$9,MATCH(A6,Lists!$A$5:$A$9,1))</f>
        <v>6 October</v>
      </c>
      <c r="D6" s="11" t="s">
        <v>55</v>
      </c>
      <c r="E6" s="11" t="s">
        <v>62</v>
      </c>
      <c r="F6" s="11" t="s">
        <v>63</v>
      </c>
      <c r="G6" s="11" t="s">
        <v>64</v>
      </c>
      <c r="H6" s="11" t="s">
        <v>59</v>
      </c>
      <c r="I6" s="11" t="s">
        <v>60</v>
      </c>
      <c r="J6" s="11" t="s">
        <v>61</v>
      </c>
    </row>
    <row r="7" customFormat="false" ht="23.85" hidden="false" customHeight="false" outlineLevel="0" collapsed="false">
      <c r="A7" s="10" t="n">
        <v>26943</v>
      </c>
      <c r="B7" s="7" t="n">
        <f aca="false">A7-DATE(1973,10,6)+1</f>
        <v>1</v>
      </c>
      <c r="C7" s="6" t="str">
        <f aca="false">INDEX(Lists!$B$5:$B$9,MATCH(A7,Lists!$A$5:$A$9,1))</f>
        <v>6 October</v>
      </c>
      <c r="D7" s="11" t="s">
        <v>55</v>
      </c>
      <c r="E7" s="11" t="s">
        <v>65</v>
      </c>
      <c r="F7" s="11" t="s">
        <v>66</v>
      </c>
      <c r="G7" s="11" t="s">
        <v>67</v>
      </c>
      <c r="H7" s="11" t="s">
        <v>68</v>
      </c>
      <c r="I7" s="11" t="s">
        <v>69</v>
      </c>
      <c r="J7" s="11" t="s">
        <v>70</v>
      </c>
    </row>
    <row r="8" customFormat="false" ht="23.85" hidden="false" customHeight="false" outlineLevel="0" collapsed="false">
      <c r="A8" s="10" t="n">
        <v>26943</v>
      </c>
      <c r="B8" s="7" t="n">
        <f aca="false">A8-DATE(1973,10,6)+1</f>
        <v>1</v>
      </c>
      <c r="C8" s="6" t="str">
        <f aca="false">INDEX(Lists!$B$5:$B$9,MATCH(A8,Lists!$A$5:$A$9,1))</f>
        <v>6 October</v>
      </c>
      <c r="D8" s="11" t="s">
        <v>55</v>
      </c>
      <c r="E8" s="11" t="s">
        <v>71</v>
      </c>
      <c r="F8" s="11" t="s">
        <v>72</v>
      </c>
      <c r="G8" s="11" t="s">
        <v>73</v>
      </c>
      <c r="H8" s="11" t="s">
        <v>68</v>
      </c>
      <c r="I8" s="11" t="s">
        <v>69</v>
      </c>
      <c r="J8" s="11" t="s">
        <v>70</v>
      </c>
    </row>
    <row r="9" customFormat="false" ht="15" hidden="false" customHeight="false" outlineLevel="0" collapsed="false">
      <c r="A9" s="10" t="n">
        <v>26943</v>
      </c>
      <c r="B9" s="7" t="n">
        <f aca="false">A9-DATE(1973,10,6)+1</f>
        <v>1</v>
      </c>
      <c r="C9" s="6" t="str">
        <f aca="false">INDEX(Lists!$B$5:$B$9,MATCH(A9,Lists!$A$5:$A$9,1))</f>
        <v>6 October</v>
      </c>
      <c r="D9" s="11" t="s">
        <v>55</v>
      </c>
      <c r="E9" s="11" t="s">
        <v>74</v>
      </c>
      <c r="F9" s="11" t="s">
        <v>75</v>
      </c>
      <c r="G9" s="11"/>
      <c r="H9" s="11" t="s">
        <v>76</v>
      </c>
      <c r="I9" s="11" t="s">
        <v>60</v>
      </c>
      <c r="J9" s="11" t="s">
        <v>70</v>
      </c>
    </row>
    <row r="10" customFormat="false" ht="15" hidden="false" customHeight="false" outlineLevel="0" collapsed="false">
      <c r="A10" s="10" t="n">
        <v>26943</v>
      </c>
      <c r="B10" s="7" t="n">
        <f aca="false">A10-DATE(1973,10,6)+1</f>
        <v>1</v>
      </c>
      <c r="C10" s="6" t="str">
        <f aca="false">INDEX(Lists!$B$5:$B$9,MATCH(A10,Lists!$A$5:$A$9,1))</f>
        <v>6 October</v>
      </c>
      <c r="D10" s="11" t="s">
        <v>77</v>
      </c>
      <c r="E10" s="11" t="s">
        <v>62</v>
      </c>
      <c r="F10" s="11" t="s">
        <v>78</v>
      </c>
      <c r="G10" s="11" t="s">
        <v>79</v>
      </c>
      <c r="H10" s="11" t="s">
        <v>80</v>
      </c>
      <c r="I10" s="11" t="s">
        <v>60</v>
      </c>
      <c r="J10" s="11" t="s">
        <v>61</v>
      </c>
    </row>
    <row r="11" customFormat="false" ht="23.85" hidden="false" customHeight="false" outlineLevel="0" collapsed="false">
      <c r="A11" s="10" t="n">
        <v>26944</v>
      </c>
      <c r="B11" s="7" t="n">
        <f aca="false">A11-DATE(1973,10,6)+1</f>
        <v>2</v>
      </c>
      <c r="C11" s="6" t="str">
        <f aca="false">INDEX(Lists!$B$5:$B$9,MATCH(A11,Lists!$A$5:$A$9,1))</f>
        <v>First Week</v>
      </c>
      <c r="D11" s="11" t="s">
        <v>55</v>
      </c>
      <c r="E11" s="11" t="s">
        <v>81</v>
      </c>
      <c r="F11" s="11" t="s">
        <v>82</v>
      </c>
      <c r="G11" s="11" t="s">
        <v>83</v>
      </c>
      <c r="H11" s="11" t="s">
        <v>68</v>
      </c>
      <c r="I11" s="11" t="s">
        <v>69</v>
      </c>
      <c r="J11" s="11" t="s">
        <v>84</v>
      </c>
    </row>
    <row r="12" customFormat="false" ht="15" hidden="false" customHeight="false" outlineLevel="0" collapsed="false">
      <c r="A12" s="10" t="n">
        <v>26945</v>
      </c>
      <c r="B12" s="7" t="n">
        <f aca="false">A12-DATE(1973,10,6)+1</f>
        <v>3</v>
      </c>
      <c r="C12" s="6" t="str">
        <f aca="false">INDEX(Lists!$B$5:$B$9,MATCH(A12,Lists!$A$5:$A$9,1))</f>
        <v>First Week</v>
      </c>
      <c r="D12" s="11" t="s">
        <v>55</v>
      </c>
      <c r="E12" s="11" t="s">
        <v>85</v>
      </c>
      <c r="F12" s="11" t="s">
        <v>86</v>
      </c>
      <c r="G12" s="11"/>
      <c r="H12" s="11" t="s">
        <v>87</v>
      </c>
      <c r="I12" s="11" t="s">
        <v>60</v>
      </c>
      <c r="J12" s="11" t="s">
        <v>70</v>
      </c>
    </row>
    <row r="13" customFormat="false" ht="23.85" hidden="false" customHeight="false" outlineLevel="0" collapsed="false">
      <c r="A13" s="10" t="n">
        <v>26946</v>
      </c>
      <c r="B13" s="7" t="n">
        <f aca="false">A13-DATE(1973,10,6)+1</f>
        <v>4</v>
      </c>
      <c r="C13" s="6" t="str">
        <f aca="false">INDEX(Lists!$B$5:$B$9,MATCH(A13,Lists!$A$5:$A$9,1))</f>
        <v>First Week</v>
      </c>
      <c r="D13" s="11" t="s">
        <v>88</v>
      </c>
      <c r="E13" s="11" t="s">
        <v>81</v>
      </c>
      <c r="F13" s="11" t="s">
        <v>89</v>
      </c>
      <c r="G13" s="11" t="s">
        <v>90</v>
      </c>
      <c r="H13" s="11" t="s">
        <v>91</v>
      </c>
      <c r="I13" s="11" t="s">
        <v>69</v>
      </c>
      <c r="J13" s="11" t="s">
        <v>84</v>
      </c>
    </row>
    <row r="14" customFormat="false" ht="15" hidden="false" customHeight="false" outlineLevel="0" collapsed="false">
      <c r="A14" s="10" t="n">
        <v>26948</v>
      </c>
      <c r="B14" s="7" t="n">
        <f aca="false">A14-DATE(1973,10,6)+1</f>
        <v>6</v>
      </c>
      <c r="C14" s="6" t="str">
        <f aca="false">INDEX(Lists!$B$5:$B$9,MATCH(A14,Lists!$A$5:$A$9,1))</f>
        <v>First Week</v>
      </c>
      <c r="D14" s="11" t="s">
        <v>77</v>
      </c>
      <c r="E14" s="11" t="s">
        <v>62</v>
      </c>
      <c r="F14" s="11" t="s">
        <v>92</v>
      </c>
      <c r="G14" s="11"/>
      <c r="H14" s="11" t="s">
        <v>87</v>
      </c>
      <c r="I14" s="11" t="s">
        <v>60</v>
      </c>
      <c r="J14" s="11" t="s">
        <v>70</v>
      </c>
    </row>
    <row r="15" customFormat="false" ht="15" hidden="false" customHeight="false" outlineLevel="0" collapsed="false">
      <c r="A15" s="10" t="n">
        <v>26949</v>
      </c>
      <c r="B15" s="7" t="n">
        <f aca="false">A15-DATE(1973,10,6)+1</f>
        <v>7</v>
      </c>
      <c r="C15" s="6" t="str">
        <f aca="false">INDEX(Lists!$B$5:$B$9,MATCH(A15,Lists!$A$5:$A$9,1))</f>
        <v>First Week</v>
      </c>
      <c r="D15" s="11" t="s">
        <v>88</v>
      </c>
      <c r="E15" s="11" t="s">
        <v>93</v>
      </c>
      <c r="F15" s="11" t="s">
        <v>94</v>
      </c>
      <c r="G15" s="11"/>
      <c r="H15" s="11" t="s">
        <v>87</v>
      </c>
      <c r="I15" s="11" t="s">
        <v>60</v>
      </c>
      <c r="J15" s="11" t="s">
        <v>70</v>
      </c>
    </row>
    <row r="16" customFormat="false" ht="23.85" hidden="false" customHeight="false" outlineLevel="0" collapsed="false">
      <c r="A16" s="10" t="n">
        <v>26951</v>
      </c>
      <c r="B16" s="7" t="n">
        <f aca="false">A16-DATE(1973,10,6)+1</f>
        <v>9</v>
      </c>
      <c r="C16" s="6" t="str">
        <f aca="false">INDEX(Lists!$B$5:$B$9,MATCH(A16,Lists!$A$5:$A$9,1))</f>
        <v>Counteroffensive</v>
      </c>
      <c r="D16" s="11" t="s">
        <v>55</v>
      </c>
      <c r="E16" s="11" t="s">
        <v>85</v>
      </c>
      <c r="F16" s="11" t="s">
        <v>95</v>
      </c>
      <c r="G16" s="11" t="s">
        <v>96</v>
      </c>
      <c r="H16" s="11" t="s">
        <v>59</v>
      </c>
      <c r="I16" s="11" t="s">
        <v>97</v>
      </c>
      <c r="J16" s="11" t="s">
        <v>70</v>
      </c>
    </row>
    <row r="17" customFormat="false" ht="23.85" hidden="false" customHeight="false" outlineLevel="0" collapsed="false">
      <c r="A17" s="10" t="n">
        <v>26951</v>
      </c>
      <c r="B17" s="7" t="n">
        <f aca="false">A17-DATE(1973,10,6)+1</f>
        <v>9</v>
      </c>
      <c r="C17" s="6" t="str">
        <f aca="false">INDEX(Lists!$B$5:$B$9,MATCH(A17,Lists!$A$5:$A$9,1))</f>
        <v>Counteroffensive</v>
      </c>
      <c r="D17" s="11" t="s">
        <v>88</v>
      </c>
      <c r="E17" s="11" t="s">
        <v>93</v>
      </c>
      <c r="F17" s="11" t="s">
        <v>98</v>
      </c>
      <c r="G17" s="11" t="s">
        <v>99</v>
      </c>
      <c r="H17" s="11" t="s">
        <v>100</v>
      </c>
      <c r="I17" s="11" t="s">
        <v>97</v>
      </c>
      <c r="J17" s="11" t="s">
        <v>70</v>
      </c>
    </row>
    <row r="18" customFormat="false" ht="15" hidden="false" customHeight="false" outlineLevel="0" collapsed="false">
      <c r="A18" s="10" t="n">
        <v>26953</v>
      </c>
      <c r="B18" s="7" t="n">
        <f aca="false">A18-DATE(1973,10,6)+1</f>
        <v>11</v>
      </c>
      <c r="C18" s="6" t="str">
        <f aca="false">INDEX(Lists!$B$5:$B$9,MATCH(A18,Lists!$A$5:$A$9,1))</f>
        <v>Counteroffensive</v>
      </c>
      <c r="D18" s="11" t="s">
        <v>55</v>
      </c>
      <c r="E18" s="11" t="s">
        <v>71</v>
      </c>
      <c r="F18" s="11" t="s">
        <v>101</v>
      </c>
      <c r="G18" s="11"/>
      <c r="H18" s="11" t="s">
        <v>87</v>
      </c>
      <c r="I18" s="11" t="s">
        <v>60</v>
      </c>
      <c r="J18" s="11" t="s">
        <v>61</v>
      </c>
    </row>
    <row r="19" customFormat="false" ht="15" hidden="false" customHeight="false" outlineLevel="0" collapsed="false">
      <c r="A19" s="10" t="n">
        <v>26954</v>
      </c>
      <c r="B19" s="7" t="n">
        <f aca="false">A19-DATE(1973,10,6)+1</f>
        <v>12</v>
      </c>
      <c r="C19" s="6" t="str">
        <f aca="false">INDEX(Lists!$B$5:$B$9,MATCH(A19,Lists!$A$5:$A$9,1))</f>
        <v>Counteroffensive</v>
      </c>
      <c r="D19" s="11" t="s">
        <v>88</v>
      </c>
      <c r="E19" s="11" t="s">
        <v>102</v>
      </c>
      <c r="F19" s="11" t="s">
        <v>103</v>
      </c>
      <c r="G19" s="11" t="s">
        <v>104</v>
      </c>
      <c r="H19" s="11" t="s">
        <v>87</v>
      </c>
      <c r="I19" s="11" t="s">
        <v>60</v>
      </c>
      <c r="J19" s="11" t="s">
        <v>61</v>
      </c>
    </row>
    <row r="20" customFormat="false" ht="23.85" hidden="false" customHeight="false" outlineLevel="0" collapsed="false">
      <c r="A20" s="10" t="n">
        <v>26956</v>
      </c>
      <c r="B20" s="7" t="n">
        <f aca="false">A20-DATE(1973,10,6)+1</f>
        <v>14</v>
      </c>
      <c r="C20" s="6" t="str">
        <f aca="false">INDEX(Lists!$B$5:$B$9,MATCH(A20,Lists!$A$5:$A$9,1))</f>
        <v>Counteroffensive</v>
      </c>
      <c r="D20" s="11" t="s">
        <v>88</v>
      </c>
      <c r="E20" s="11" t="s">
        <v>102</v>
      </c>
      <c r="F20" s="11" t="s">
        <v>105</v>
      </c>
      <c r="G20" s="11" t="s">
        <v>106</v>
      </c>
      <c r="H20" s="11" t="s">
        <v>107</v>
      </c>
      <c r="I20" s="11" t="s">
        <v>60</v>
      </c>
      <c r="J20" s="11" t="s">
        <v>70</v>
      </c>
    </row>
    <row r="21" customFormat="false" ht="23.85" hidden="false" customHeight="false" outlineLevel="0" collapsed="false">
      <c r="A21" s="10" t="n">
        <v>26958</v>
      </c>
      <c r="B21" s="7" t="n">
        <f aca="false">A21-DATE(1973,10,6)+1</f>
        <v>16</v>
      </c>
      <c r="C21" s="6" t="str">
        <f aca="false">INDEX(Lists!$B$5:$B$9,MATCH(A21,Lists!$A$5:$A$9,1))</f>
        <v>Counteroffensive</v>
      </c>
      <c r="D21" s="11" t="s">
        <v>55</v>
      </c>
      <c r="E21" s="11" t="s">
        <v>74</v>
      </c>
      <c r="F21" s="11" t="s">
        <v>108</v>
      </c>
      <c r="G21" s="11" t="s">
        <v>109</v>
      </c>
      <c r="H21" s="11" t="s">
        <v>87</v>
      </c>
      <c r="I21" s="11" t="s">
        <v>60</v>
      </c>
      <c r="J21" s="11" t="s">
        <v>70</v>
      </c>
    </row>
    <row r="22" customFormat="false" ht="15" hidden="false" customHeight="false" outlineLevel="0" collapsed="false">
      <c r="A22" s="10" t="n">
        <v>26959</v>
      </c>
      <c r="B22" s="7" t="n">
        <f aca="false">A22-DATE(1973,10,6)+1</f>
        <v>17</v>
      </c>
      <c r="C22" s="6" t="str">
        <f aca="false">INDEX(Lists!$B$5:$B$9,MATCH(A22,Lists!$A$5:$A$9,1))</f>
        <v>Ceasefire</v>
      </c>
      <c r="D22" s="11" t="s">
        <v>88</v>
      </c>
      <c r="E22" s="11" t="s">
        <v>93</v>
      </c>
      <c r="F22" s="11" t="s">
        <v>110</v>
      </c>
      <c r="G22" s="11" t="s">
        <v>111</v>
      </c>
      <c r="H22" s="11" t="s">
        <v>112</v>
      </c>
      <c r="I22" s="11" t="s">
        <v>60</v>
      </c>
      <c r="J22" s="11" t="s">
        <v>61</v>
      </c>
    </row>
    <row r="23" customFormat="false" ht="15" hidden="false" customHeight="false" outlineLevel="0" collapsed="false">
      <c r="A23" s="10" t="n">
        <v>26959</v>
      </c>
      <c r="B23" s="7" t="n">
        <f aca="false">A23-DATE(1973,10,6)+1</f>
        <v>17</v>
      </c>
      <c r="C23" s="6" t="str">
        <f aca="false">INDEX(Lists!$B$5:$B$9,MATCH(A23,Lists!$A$5:$A$9,1))</f>
        <v>Ceasefire</v>
      </c>
      <c r="D23" s="11" t="s">
        <v>77</v>
      </c>
      <c r="E23" s="11" t="s">
        <v>74</v>
      </c>
      <c r="F23" s="11" t="s">
        <v>113</v>
      </c>
      <c r="G23" s="11"/>
      <c r="H23" s="11" t="s">
        <v>87</v>
      </c>
      <c r="I23" s="11" t="s">
        <v>60</v>
      </c>
      <c r="J23" s="11" t="s">
        <v>70</v>
      </c>
    </row>
    <row r="24" customFormat="false" ht="15" hidden="false" customHeight="false" outlineLevel="0" collapsed="false">
      <c r="A24" s="10" t="n">
        <v>26959</v>
      </c>
      <c r="B24" s="7" t="n">
        <f aca="false">A24-DATE(1973,10,6)+1</f>
        <v>17</v>
      </c>
      <c r="C24" s="6" t="str">
        <f aca="false">INDEX(Lists!$B$5:$B$9,MATCH(A24,Lists!$A$5:$A$9,1))</f>
        <v>Ceasefire</v>
      </c>
      <c r="D24" s="11" t="s">
        <v>88</v>
      </c>
      <c r="E24" s="11" t="s">
        <v>93</v>
      </c>
      <c r="F24" s="11" t="s">
        <v>114</v>
      </c>
      <c r="G24" s="11"/>
      <c r="H24" s="11" t="s">
        <v>76</v>
      </c>
      <c r="I24" s="11" t="s">
        <v>60</v>
      </c>
      <c r="J24" s="11" t="s">
        <v>70</v>
      </c>
    </row>
    <row r="25" customFormat="false" ht="23.85" hidden="false" customHeight="false" outlineLevel="0" collapsed="false">
      <c r="A25" s="10" t="n">
        <v>26960</v>
      </c>
      <c r="B25" s="7" t="n">
        <f aca="false">A25-DATE(1973,10,6)+1</f>
        <v>18</v>
      </c>
      <c r="C25" s="6" t="str">
        <f aca="false">INDEX(Lists!$B$5:$B$9,MATCH(A25,Lists!$A$5:$A$9,1))</f>
        <v>Ceasefire</v>
      </c>
      <c r="D25" s="11" t="s">
        <v>55</v>
      </c>
      <c r="E25" s="11" t="s">
        <v>62</v>
      </c>
      <c r="F25" s="11" t="s">
        <v>115</v>
      </c>
      <c r="G25" s="11" t="s">
        <v>116</v>
      </c>
      <c r="H25" s="11" t="s">
        <v>117</v>
      </c>
      <c r="I25" s="11" t="s">
        <v>60</v>
      </c>
      <c r="J25" s="11" t="s">
        <v>61</v>
      </c>
    </row>
    <row r="26" customFormat="false" ht="23.85" hidden="false" customHeight="false" outlineLevel="0" collapsed="false">
      <c r="A26" s="10" t="n">
        <v>26960</v>
      </c>
      <c r="B26" s="7" t="n">
        <f aca="false">A26-DATE(1973,10,6)+1</f>
        <v>18</v>
      </c>
      <c r="C26" s="6" t="str">
        <f aca="false">INDEX(Lists!$B$5:$B$9,MATCH(A26,Lists!$A$5:$A$9,1))</f>
        <v>Ceasefire</v>
      </c>
      <c r="D26" s="11" t="s">
        <v>88</v>
      </c>
      <c r="E26" s="11" t="s">
        <v>93</v>
      </c>
      <c r="F26" s="11" t="s">
        <v>118</v>
      </c>
      <c r="G26" s="11" t="s">
        <v>119</v>
      </c>
      <c r="H26" s="11" t="s">
        <v>80</v>
      </c>
      <c r="I26" s="11" t="s">
        <v>60</v>
      </c>
      <c r="J26" s="11" t="s">
        <v>61</v>
      </c>
    </row>
    <row r="27" customFormat="false" ht="23.85" hidden="false" customHeight="false" outlineLevel="0" collapsed="false">
      <c r="A27" s="10" t="n">
        <v>26961</v>
      </c>
      <c r="B27" s="7" t="n">
        <f aca="false">A27-DATE(1973,10,6)+1</f>
        <v>19</v>
      </c>
      <c r="C27" s="6" t="str">
        <f aca="false">INDEX(Lists!$B$5:$B$9,MATCH(A27,Lists!$A$5:$A$9,1))</f>
        <v>Ceasefire</v>
      </c>
      <c r="D27" s="11" t="s">
        <v>55</v>
      </c>
      <c r="E27" s="11" t="s">
        <v>62</v>
      </c>
      <c r="F27" s="11" t="s">
        <v>120</v>
      </c>
      <c r="G27" s="11"/>
      <c r="H27" s="11" t="s">
        <v>87</v>
      </c>
      <c r="I27" s="11" t="s">
        <v>60</v>
      </c>
      <c r="J27" s="11" t="s">
        <v>70</v>
      </c>
    </row>
    <row r="28" customFormat="false" ht="23.85" hidden="false" customHeight="false" outlineLevel="0" collapsed="false">
      <c r="A28" s="10" t="n">
        <v>26962</v>
      </c>
      <c r="B28" s="7" t="n">
        <f aca="false">A28-DATE(1973,10,6)+1</f>
        <v>20</v>
      </c>
      <c r="C28" s="6" t="str">
        <f aca="false">INDEX(Lists!$B$5:$B$9,MATCH(A28,Lists!$A$5:$A$9,1))</f>
        <v>Ceasefire</v>
      </c>
      <c r="D28" s="11" t="s">
        <v>88</v>
      </c>
      <c r="E28" s="11" t="s">
        <v>93</v>
      </c>
      <c r="F28" s="11" t="s">
        <v>121</v>
      </c>
      <c r="G28" s="11"/>
      <c r="H28" s="11" t="s">
        <v>80</v>
      </c>
      <c r="I28" s="11" t="s">
        <v>60</v>
      </c>
      <c r="J28" s="11" t="s">
        <v>61</v>
      </c>
    </row>
    <row r="29" customFormat="false" ht="23.85" hidden="false" customHeight="false" outlineLevel="0" collapsed="false">
      <c r="A29" s="10" t="n">
        <v>26962</v>
      </c>
      <c r="B29" s="7" t="n">
        <f aca="false">A29-DATE(1973,10,6)+1</f>
        <v>20</v>
      </c>
      <c r="C29" s="6" t="str">
        <f aca="false">INDEX(Lists!$B$5:$B$9,MATCH(A29,Lists!$A$5:$A$9,1))</f>
        <v>Ceasefire</v>
      </c>
      <c r="D29" s="11" t="s">
        <v>88</v>
      </c>
      <c r="E29" s="11" t="s">
        <v>62</v>
      </c>
      <c r="F29" s="11" t="s">
        <v>122</v>
      </c>
      <c r="G29" s="11" t="s">
        <v>123</v>
      </c>
      <c r="H29" s="11" t="s">
        <v>76</v>
      </c>
      <c r="I29" s="11" t="s">
        <v>60</v>
      </c>
      <c r="J29" s="11" t="s">
        <v>70</v>
      </c>
    </row>
  </sheetData>
  <autoFilter ref="A4:J29"/>
  <dataValidations count="3">
    <dataValidation allowBlank="true" errorStyle="stop" operator="between" showDropDown="false" showErrorMessage="false" showInputMessage="false" sqref="D5:D89" type="list">
      <formula1>Lists!$A$13:$A$15</formula1>
      <formula2>0</formula2>
    </dataValidation>
    <dataValidation allowBlank="true" errorStyle="stop" operator="between" showDropDown="false" showErrorMessage="false" showInputMessage="false" sqref="E5:E89" type="list">
      <formula1>Lists!$B$13:$B$21</formula1>
      <formula2>0</formula2>
    </dataValidation>
    <dataValidation allowBlank="true" errorStyle="stop" operator="between" showDropDown="false" showErrorMessage="false" showInputMessage="false" sqref="J5:J89" type="list">
      <formula1>Lists!$C$13:$C$15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6063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5" t="s">
        <v>126</v>
      </c>
      <c r="B4" s="5" t="s">
        <v>127</v>
      </c>
      <c r="C4" s="5" t="s">
        <v>84</v>
      </c>
      <c r="D4" s="5" t="s">
        <v>61</v>
      </c>
      <c r="E4" s="5" t="s">
        <v>128</v>
      </c>
      <c r="F4" s="5" t="s">
        <v>129</v>
      </c>
      <c r="G4" s="5" t="s">
        <v>52</v>
      </c>
      <c r="H4" s="5" t="s">
        <v>130</v>
      </c>
    </row>
    <row r="5" customFormat="false" ht="15" hidden="false" customHeight="false" outlineLevel="0" collapsed="false">
      <c r="A5" s="11" t="s">
        <v>26</v>
      </c>
      <c r="B5" s="11" t="s">
        <v>37</v>
      </c>
      <c r="C5" s="12" t="n">
        <v>375000</v>
      </c>
      <c r="D5" s="12" t="n">
        <v>415000</v>
      </c>
      <c r="E5" s="8" t="n">
        <f aca="false">AVERAGE(C5:D5)</f>
        <v>395000</v>
      </c>
      <c r="F5" s="11" t="s">
        <v>131</v>
      </c>
      <c r="G5" s="11" t="s">
        <v>59</v>
      </c>
      <c r="H5" s="11" t="s">
        <v>132</v>
      </c>
    </row>
    <row r="6" customFormat="false" ht="15" hidden="false" customHeight="false" outlineLevel="0" collapsed="false">
      <c r="A6" s="11" t="s">
        <v>26</v>
      </c>
      <c r="B6" s="11" t="s">
        <v>38</v>
      </c>
      <c r="C6" s="12" t="n">
        <v>1700</v>
      </c>
      <c r="D6" s="12" t="n">
        <v>1700</v>
      </c>
      <c r="E6" s="8" t="n">
        <f aca="false">AVERAGE(C6:D6)</f>
        <v>1700</v>
      </c>
      <c r="F6" s="11" t="s">
        <v>133</v>
      </c>
      <c r="G6" s="11" t="s">
        <v>59</v>
      </c>
      <c r="H6" s="11"/>
    </row>
    <row r="7" customFormat="false" ht="15" hidden="false" customHeight="false" outlineLevel="0" collapsed="false">
      <c r="A7" s="11" t="s">
        <v>26</v>
      </c>
      <c r="B7" s="11" t="s">
        <v>134</v>
      </c>
      <c r="C7" s="12" t="n">
        <v>3000</v>
      </c>
      <c r="D7" s="12" t="n">
        <v>3000</v>
      </c>
      <c r="E7" s="8" t="n">
        <f aca="false">AVERAGE(C7:D7)</f>
        <v>3000</v>
      </c>
      <c r="F7" s="11" t="s">
        <v>135</v>
      </c>
      <c r="G7" s="11" t="s">
        <v>59</v>
      </c>
      <c r="H7" s="11"/>
    </row>
    <row r="8" customFormat="false" ht="15" hidden="false" customHeight="false" outlineLevel="0" collapsed="false">
      <c r="A8" s="11" t="s">
        <v>26</v>
      </c>
      <c r="B8" s="11" t="s">
        <v>41</v>
      </c>
      <c r="C8" s="12" t="n">
        <v>945</v>
      </c>
      <c r="D8" s="12" t="n">
        <v>945</v>
      </c>
      <c r="E8" s="8" t="n">
        <f aca="false">AVERAGE(C8:D8)</f>
        <v>945</v>
      </c>
      <c r="F8" s="11" t="s">
        <v>136</v>
      </c>
      <c r="G8" s="11" t="s">
        <v>59</v>
      </c>
      <c r="H8" s="11"/>
    </row>
    <row r="9" customFormat="false" ht="15" hidden="false" customHeight="false" outlineLevel="0" collapsed="false">
      <c r="A9" s="11" t="s">
        <v>26</v>
      </c>
      <c r="B9" s="11" t="s">
        <v>39</v>
      </c>
      <c r="C9" s="12" t="n">
        <v>440</v>
      </c>
      <c r="D9" s="12" t="n">
        <v>440</v>
      </c>
      <c r="E9" s="8" t="n">
        <f aca="false">AVERAGE(C9:D9)</f>
        <v>440</v>
      </c>
      <c r="F9" s="11" t="s">
        <v>137</v>
      </c>
      <c r="G9" s="11" t="s">
        <v>59</v>
      </c>
      <c r="H9" s="11"/>
    </row>
    <row r="10" customFormat="false" ht="15" hidden="false" customHeight="false" outlineLevel="0" collapsed="false">
      <c r="A10" s="11" t="s">
        <v>35</v>
      </c>
      <c r="B10" s="11" t="s">
        <v>37</v>
      </c>
      <c r="C10" s="12" t="n">
        <v>650000</v>
      </c>
      <c r="D10" s="12" t="n">
        <v>850000</v>
      </c>
      <c r="E10" s="8" t="n">
        <f aca="false">AVERAGE(C10:D10)</f>
        <v>750000</v>
      </c>
      <c r="F10" s="11" t="s">
        <v>131</v>
      </c>
      <c r="G10" s="11" t="s">
        <v>59</v>
      </c>
      <c r="H10" s="11" t="s">
        <v>138</v>
      </c>
    </row>
    <row r="11" customFormat="false" ht="15" hidden="false" customHeight="false" outlineLevel="0" collapsed="false">
      <c r="A11" s="11" t="s">
        <v>35</v>
      </c>
      <c r="B11" s="11" t="s">
        <v>38</v>
      </c>
      <c r="C11" s="12" t="n">
        <v>1700</v>
      </c>
      <c r="D11" s="12" t="n">
        <v>1700</v>
      </c>
      <c r="E11" s="8" t="n">
        <f aca="false">AVERAGE(C11:D11)</f>
        <v>1700</v>
      </c>
      <c r="F11" s="11" t="s">
        <v>133</v>
      </c>
      <c r="G11" s="11" t="s">
        <v>59</v>
      </c>
      <c r="H11" s="11" t="s">
        <v>139</v>
      </c>
    </row>
    <row r="12" customFormat="false" ht="15" hidden="false" customHeight="false" outlineLevel="0" collapsed="false">
      <c r="A12" s="11" t="s">
        <v>35</v>
      </c>
      <c r="B12" s="11" t="s">
        <v>134</v>
      </c>
      <c r="C12" s="12" t="n">
        <v>2400</v>
      </c>
      <c r="D12" s="12" t="n">
        <v>2400</v>
      </c>
      <c r="E12" s="8" t="n">
        <f aca="false">AVERAGE(C12:D12)</f>
        <v>2400</v>
      </c>
      <c r="F12" s="11" t="s">
        <v>135</v>
      </c>
      <c r="G12" s="11" t="s">
        <v>59</v>
      </c>
      <c r="H12" s="11"/>
    </row>
    <row r="13" customFormat="false" ht="15" hidden="false" customHeight="false" outlineLevel="0" collapsed="false">
      <c r="A13" s="11" t="s">
        <v>35</v>
      </c>
      <c r="B13" s="11" t="s">
        <v>41</v>
      </c>
      <c r="C13" s="12" t="n">
        <v>1120</v>
      </c>
      <c r="D13" s="12" t="n">
        <v>1120</v>
      </c>
      <c r="E13" s="8" t="n">
        <f aca="false">AVERAGE(C13:D13)</f>
        <v>1120</v>
      </c>
      <c r="F13" s="11" t="s">
        <v>136</v>
      </c>
      <c r="G13" s="11" t="s">
        <v>59</v>
      </c>
      <c r="H13" s="11"/>
    </row>
    <row r="14" customFormat="false" ht="15" hidden="false" customHeight="false" outlineLevel="0" collapsed="false">
      <c r="A14" s="11" t="s">
        <v>35</v>
      </c>
      <c r="B14" s="11" t="s">
        <v>39</v>
      </c>
      <c r="C14" s="12" t="n">
        <v>400</v>
      </c>
      <c r="D14" s="12" t="n">
        <v>400</v>
      </c>
      <c r="E14" s="8" t="n">
        <f aca="false">AVERAGE(C14:D14)</f>
        <v>400</v>
      </c>
      <c r="F14" s="11" t="s">
        <v>137</v>
      </c>
      <c r="G14" s="11" t="s">
        <v>59</v>
      </c>
      <c r="H14" s="11"/>
    </row>
    <row r="15" customFormat="false" ht="15" hidden="false" customHeight="false" outlineLevel="0" collapsed="false">
      <c r="A15" s="11" t="s">
        <v>35</v>
      </c>
      <c r="B15" s="11" t="s">
        <v>140</v>
      </c>
      <c r="C15" s="12" t="n">
        <v>140</v>
      </c>
      <c r="D15" s="12" t="n">
        <v>140</v>
      </c>
      <c r="E15" s="8" t="n">
        <f aca="false">AVERAGE(C15:D15)</f>
        <v>140</v>
      </c>
      <c r="F15" s="11" t="s">
        <v>141</v>
      </c>
      <c r="G15" s="11" t="s">
        <v>59</v>
      </c>
      <c r="H15" s="11"/>
    </row>
    <row r="16" customFormat="false" ht="15" hidden="false" customHeight="false" outlineLevel="0" collapsed="false">
      <c r="A16" s="11" t="s">
        <v>35</v>
      </c>
      <c r="B16" s="11" t="s">
        <v>142</v>
      </c>
      <c r="C16" s="12" t="n">
        <v>104</v>
      </c>
      <c r="D16" s="12" t="n">
        <v>104</v>
      </c>
      <c r="E16" s="8" t="n">
        <f aca="false">AVERAGE(C16:D16)</f>
        <v>104</v>
      </c>
      <c r="F16" s="11" t="s">
        <v>143</v>
      </c>
      <c r="G16" s="11" t="s">
        <v>59</v>
      </c>
      <c r="H16" s="11"/>
    </row>
    <row r="17" customFormat="false" ht="15" hidden="false" customHeight="false" outlineLevel="0" collapsed="false">
      <c r="A17" s="11" t="s">
        <v>35</v>
      </c>
      <c r="B17" s="11" t="s">
        <v>144</v>
      </c>
      <c r="C17" s="12" t="n">
        <v>150</v>
      </c>
      <c r="D17" s="12" t="n">
        <v>150</v>
      </c>
      <c r="E17" s="8" t="n">
        <f aca="false">AVERAGE(C17:D17)</f>
        <v>150</v>
      </c>
      <c r="F17" s="11" t="s">
        <v>145</v>
      </c>
      <c r="G17" s="11" t="s">
        <v>59</v>
      </c>
      <c r="H17" s="11" t="s">
        <v>146</v>
      </c>
    </row>
    <row r="18" customFormat="false" ht="15" hidden="false" customHeight="false" outlineLevel="0" collapsed="false">
      <c r="A18" s="11" t="s">
        <v>36</v>
      </c>
      <c r="B18" s="11" t="s">
        <v>37</v>
      </c>
      <c r="C18" s="12" t="n">
        <v>150000</v>
      </c>
      <c r="D18" s="12" t="n">
        <v>300000</v>
      </c>
      <c r="E18" s="8" t="n">
        <f aca="false">AVERAGE(C18:D18)</f>
        <v>225000</v>
      </c>
      <c r="F18" s="11" t="s">
        <v>131</v>
      </c>
      <c r="G18" s="11" t="s">
        <v>59</v>
      </c>
      <c r="H18" s="11"/>
    </row>
    <row r="19" customFormat="false" ht="15" hidden="false" customHeight="false" outlineLevel="0" collapsed="false">
      <c r="A19" s="11" t="s">
        <v>36</v>
      </c>
      <c r="B19" s="11" t="s">
        <v>38</v>
      </c>
      <c r="C19" s="12" t="n">
        <v>1200</v>
      </c>
      <c r="D19" s="12" t="n">
        <v>1200</v>
      </c>
      <c r="E19" s="8" t="n">
        <f aca="false">AVERAGE(C19:D19)</f>
        <v>1200</v>
      </c>
      <c r="F19" s="11" t="s">
        <v>133</v>
      </c>
      <c r="G19" s="11" t="s">
        <v>59</v>
      </c>
      <c r="H19" s="11"/>
    </row>
    <row r="20" customFormat="false" ht="15" hidden="false" customHeight="false" outlineLevel="0" collapsed="false">
      <c r="A20" s="11" t="s">
        <v>36</v>
      </c>
      <c r="B20" s="11" t="s">
        <v>134</v>
      </c>
      <c r="C20" s="12" t="n">
        <v>800</v>
      </c>
      <c r="D20" s="12" t="n">
        <v>900</v>
      </c>
      <c r="E20" s="8" t="n">
        <f aca="false">AVERAGE(C20:D20)</f>
        <v>850</v>
      </c>
      <c r="F20" s="11" t="s">
        <v>135</v>
      </c>
      <c r="G20" s="11" t="s">
        <v>59</v>
      </c>
      <c r="H20" s="11"/>
    </row>
    <row r="21" customFormat="false" ht="15" hidden="false" customHeight="false" outlineLevel="0" collapsed="false">
      <c r="A21" s="11" t="s">
        <v>36</v>
      </c>
      <c r="B21" s="11" t="s">
        <v>41</v>
      </c>
      <c r="C21" s="12" t="n">
        <v>600</v>
      </c>
      <c r="D21" s="12" t="n">
        <v>600</v>
      </c>
      <c r="E21" s="8" t="n">
        <f aca="false">AVERAGE(C21:D21)</f>
        <v>600</v>
      </c>
      <c r="F21" s="11" t="s">
        <v>136</v>
      </c>
      <c r="G21" s="11" t="s">
        <v>59</v>
      </c>
      <c r="H21" s="11"/>
    </row>
    <row r="22" customFormat="false" ht="15" hidden="false" customHeight="false" outlineLevel="0" collapsed="false">
      <c r="A22" s="11" t="s">
        <v>147</v>
      </c>
      <c r="B22" s="11" t="s">
        <v>37</v>
      </c>
      <c r="C22" s="12" t="n">
        <v>120000</v>
      </c>
      <c r="D22" s="12" t="n">
        <v>120000</v>
      </c>
      <c r="E22" s="8" t="n">
        <f aca="false">AVERAGE(C22:D22)</f>
        <v>120000</v>
      </c>
      <c r="F22" s="11" t="s">
        <v>131</v>
      </c>
      <c r="G22" s="11" t="s">
        <v>59</v>
      </c>
      <c r="H22" s="11" t="s">
        <v>148</v>
      </c>
    </row>
    <row r="23" customFormat="false" ht="15" hidden="false" customHeight="false" outlineLevel="0" collapsed="false">
      <c r="A23" s="11" t="s">
        <v>147</v>
      </c>
      <c r="B23" s="11" t="s">
        <v>38</v>
      </c>
      <c r="C23" s="12" t="n">
        <v>500</v>
      </c>
      <c r="D23" s="12" t="n">
        <v>670</v>
      </c>
      <c r="E23" s="8" t="n">
        <f aca="false">AVERAGE(C23:D23)</f>
        <v>585</v>
      </c>
      <c r="F23" s="11" t="s">
        <v>133</v>
      </c>
      <c r="G23" s="11" t="s">
        <v>59</v>
      </c>
      <c r="H23" s="11"/>
    </row>
    <row r="24" customFormat="false" ht="15" hidden="false" customHeight="false" outlineLevel="0" collapsed="false">
      <c r="A24" s="11" t="s">
        <v>147</v>
      </c>
      <c r="B24" s="11" t="s">
        <v>134</v>
      </c>
      <c r="C24" s="12" t="n">
        <v>700</v>
      </c>
      <c r="D24" s="12" t="n">
        <v>700</v>
      </c>
      <c r="E24" s="8" t="n">
        <f aca="false">AVERAGE(C24:D24)</f>
        <v>700</v>
      </c>
      <c r="F24" s="11" t="s">
        <v>135</v>
      </c>
      <c r="G24" s="11" t="s">
        <v>59</v>
      </c>
      <c r="H24" s="11"/>
    </row>
    <row r="25" customFormat="false" ht="15" hidden="false" customHeight="false" outlineLevel="0" collapsed="false">
      <c r="A25" s="11" t="s">
        <v>149</v>
      </c>
      <c r="B25" s="11" t="s">
        <v>37</v>
      </c>
      <c r="C25" s="12" t="n">
        <v>23000</v>
      </c>
      <c r="D25" s="12" t="n">
        <v>23000</v>
      </c>
      <c r="E25" s="8" t="n">
        <f aca="false">AVERAGE(C25:D25)</f>
        <v>23000</v>
      </c>
      <c r="F25" s="11" t="s">
        <v>131</v>
      </c>
      <c r="G25" s="11" t="s">
        <v>59</v>
      </c>
      <c r="H25" s="11" t="s">
        <v>150</v>
      </c>
    </row>
    <row r="26" customFormat="false" ht="15" hidden="false" customHeight="false" outlineLevel="0" collapsed="false">
      <c r="A26" s="11" t="s">
        <v>151</v>
      </c>
      <c r="B26" s="11" t="s">
        <v>37</v>
      </c>
      <c r="C26" s="12" t="n">
        <v>5500</v>
      </c>
      <c r="D26" s="12" t="n">
        <v>5500</v>
      </c>
      <c r="E26" s="8" t="n">
        <f aca="false">AVERAGE(C26:D26)</f>
        <v>5500</v>
      </c>
      <c r="F26" s="11" t="s">
        <v>131</v>
      </c>
      <c r="G26" s="11" t="s">
        <v>59</v>
      </c>
      <c r="H26" s="11"/>
    </row>
    <row r="27" customFormat="false" ht="15" hidden="false" customHeight="false" outlineLevel="0" collapsed="false">
      <c r="A27" s="11" t="s">
        <v>152</v>
      </c>
      <c r="B27" s="11" t="s">
        <v>37</v>
      </c>
      <c r="C27" s="12" t="n">
        <v>500</v>
      </c>
      <c r="D27" s="12" t="n">
        <v>1000</v>
      </c>
      <c r="E27" s="8" t="n">
        <f aca="false">AVERAGE(C27:D27)</f>
        <v>750</v>
      </c>
      <c r="F27" s="11" t="s">
        <v>131</v>
      </c>
      <c r="G27" s="11" t="s">
        <v>59</v>
      </c>
      <c r="H27" s="11"/>
    </row>
    <row r="28" customFormat="false" ht="15" hidden="false" customHeight="false" outlineLevel="0" collapsed="false">
      <c r="A28" s="11" t="s">
        <v>153</v>
      </c>
      <c r="B28" s="11" t="s">
        <v>37</v>
      </c>
      <c r="C28" s="12" t="n">
        <v>914000</v>
      </c>
      <c r="D28" s="12" t="n">
        <v>1067500</v>
      </c>
      <c r="E28" s="8" t="n">
        <f aca="false">AVERAGE(C28:D28)</f>
        <v>990750</v>
      </c>
      <c r="F28" s="11" t="s">
        <v>131</v>
      </c>
      <c r="G28" s="11" t="s">
        <v>59</v>
      </c>
      <c r="H28" s="11"/>
    </row>
    <row r="29" customFormat="false" ht="15" hidden="false" customHeight="false" outlineLevel="0" collapsed="false">
      <c r="A29" s="11" t="s">
        <v>153</v>
      </c>
      <c r="B29" s="11" t="s">
        <v>38</v>
      </c>
      <c r="C29" s="12" t="n">
        <v>3430</v>
      </c>
      <c r="D29" s="12" t="n">
        <v>3600</v>
      </c>
      <c r="E29" s="8" t="n">
        <f aca="false">AVERAGE(C29:D29)</f>
        <v>3515</v>
      </c>
      <c r="F29" s="11" t="s">
        <v>133</v>
      </c>
      <c r="G29" s="11" t="s">
        <v>59</v>
      </c>
      <c r="H29" s="11"/>
    </row>
    <row r="30" customFormat="false" ht="15" hidden="false" customHeight="false" outlineLevel="0" collapsed="false">
      <c r="A30" s="11" t="s">
        <v>153</v>
      </c>
      <c r="B30" s="11" t="s">
        <v>39</v>
      </c>
      <c r="C30" s="12" t="n">
        <v>452</v>
      </c>
      <c r="D30" s="12" t="n">
        <v>452</v>
      </c>
      <c r="E30" s="8" t="n">
        <f aca="false">AVERAGE(C30:D30)</f>
        <v>452</v>
      </c>
      <c r="F30" s="11" t="s">
        <v>137</v>
      </c>
      <c r="G30" s="11" t="s">
        <v>59</v>
      </c>
      <c r="H30" s="11"/>
    </row>
  </sheetData>
  <autoFilter ref="A4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6063"/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8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5" t="s">
        <v>126</v>
      </c>
      <c r="B4" s="5" t="s">
        <v>127</v>
      </c>
      <c r="C4" s="5" t="s">
        <v>84</v>
      </c>
      <c r="D4" s="5" t="s">
        <v>61</v>
      </c>
      <c r="E4" s="5" t="s">
        <v>128</v>
      </c>
      <c r="F4" s="5" t="s">
        <v>129</v>
      </c>
      <c r="G4" s="5" t="s">
        <v>156</v>
      </c>
      <c r="H4" s="5" t="s">
        <v>52</v>
      </c>
      <c r="I4" s="5" t="s">
        <v>130</v>
      </c>
    </row>
    <row r="5" customFormat="false" ht="15" hidden="false" customHeight="false" outlineLevel="0" collapsed="false">
      <c r="A5" s="11" t="s">
        <v>26</v>
      </c>
      <c r="B5" s="11" t="s">
        <v>29</v>
      </c>
      <c r="C5" s="12" t="n">
        <v>2521</v>
      </c>
      <c r="D5" s="12" t="n">
        <v>2800</v>
      </c>
      <c r="E5" s="8" t="n">
        <f aca="false">AVERAGE(C5:D5)</f>
        <v>2660.5</v>
      </c>
      <c r="F5" s="11" t="s">
        <v>157</v>
      </c>
      <c r="G5" s="11" t="s">
        <v>158</v>
      </c>
      <c r="H5" s="11" t="s">
        <v>59</v>
      </c>
      <c r="I5" s="11"/>
    </row>
    <row r="6" customFormat="false" ht="15" hidden="false" customHeight="false" outlineLevel="0" collapsed="false">
      <c r="A6" s="11" t="s">
        <v>26</v>
      </c>
      <c r="B6" s="11" t="s">
        <v>30</v>
      </c>
      <c r="C6" s="12" t="n">
        <v>7250</v>
      </c>
      <c r="D6" s="12" t="n">
        <v>8800</v>
      </c>
      <c r="E6" s="8" t="n">
        <f aca="false">AVERAGE(C6:D6)</f>
        <v>8025</v>
      </c>
      <c r="F6" s="11" t="s">
        <v>157</v>
      </c>
      <c r="G6" s="11" t="s">
        <v>158</v>
      </c>
      <c r="H6" s="11" t="s">
        <v>59</v>
      </c>
      <c r="I6" s="11"/>
    </row>
    <row r="7" customFormat="false" ht="15" hidden="false" customHeight="false" outlineLevel="0" collapsed="false">
      <c r="A7" s="11" t="s">
        <v>26</v>
      </c>
      <c r="B7" s="11" t="s">
        <v>33</v>
      </c>
      <c r="C7" s="12" t="n">
        <v>293</v>
      </c>
      <c r="D7" s="12" t="n">
        <v>293</v>
      </c>
      <c r="E7" s="8" t="n">
        <f aca="false">AVERAGE(C7:D7)</f>
        <v>293</v>
      </c>
      <c r="F7" s="11" t="s">
        <v>157</v>
      </c>
      <c r="G7" s="11" t="s">
        <v>158</v>
      </c>
      <c r="H7" s="11" t="s">
        <v>59</v>
      </c>
      <c r="I7" s="11"/>
    </row>
    <row r="8" customFormat="false" ht="23.85" hidden="false" customHeight="false" outlineLevel="0" collapsed="false">
      <c r="A8" s="11" t="s">
        <v>26</v>
      </c>
      <c r="B8" s="11" t="s">
        <v>31</v>
      </c>
      <c r="C8" s="12" t="n">
        <v>400</v>
      </c>
      <c r="D8" s="12" t="n">
        <v>800</v>
      </c>
      <c r="E8" s="8" t="n">
        <f aca="false">AVERAGE(C8:D8)</f>
        <v>600</v>
      </c>
      <c r="F8" s="11" t="s">
        <v>133</v>
      </c>
      <c r="G8" s="11" t="s">
        <v>158</v>
      </c>
      <c r="H8" s="11" t="s">
        <v>59</v>
      </c>
      <c r="I8" s="11" t="s">
        <v>159</v>
      </c>
    </row>
    <row r="9" customFormat="false" ht="15" hidden="false" customHeight="false" outlineLevel="0" collapsed="false">
      <c r="A9" s="11" t="s">
        <v>26</v>
      </c>
      <c r="B9" s="11" t="s">
        <v>160</v>
      </c>
      <c r="C9" s="12" t="n">
        <v>407</v>
      </c>
      <c r="D9" s="12" t="n">
        <v>407</v>
      </c>
      <c r="E9" s="8" t="n">
        <f aca="false">AVERAGE(C9:D9)</f>
        <v>407</v>
      </c>
      <c r="F9" s="11" t="s">
        <v>135</v>
      </c>
      <c r="G9" s="11" t="s">
        <v>158</v>
      </c>
      <c r="H9" s="11" t="s">
        <v>59</v>
      </c>
      <c r="I9" s="11"/>
    </row>
    <row r="10" customFormat="false" ht="15" hidden="false" customHeight="false" outlineLevel="0" collapsed="false">
      <c r="A10" s="11" t="s">
        <v>26</v>
      </c>
      <c r="B10" s="11" t="s">
        <v>32</v>
      </c>
      <c r="C10" s="12" t="n">
        <v>102</v>
      </c>
      <c r="D10" s="12" t="n">
        <v>387</v>
      </c>
      <c r="E10" s="8" t="n">
        <f aca="false">AVERAGE(C10:D10)</f>
        <v>244.5</v>
      </c>
      <c r="F10" s="11" t="s">
        <v>137</v>
      </c>
      <c r="G10" s="11" t="s">
        <v>158</v>
      </c>
      <c r="H10" s="11" t="s">
        <v>59</v>
      </c>
      <c r="I10" s="11" t="s">
        <v>161</v>
      </c>
    </row>
    <row r="11" customFormat="false" ht="15" hidden="false" customHeight="false" outlineLevel="0" collapsed="false">
      <c r="A11" s="11" t="s">
        <v>35</v>
      </c>
      <c r="B11" s="11" t="s">
        <v>29</v>
      </c>
      <c r="C11" s="12" t="n">
        <v>5000</v>
      </c>
      <c r="D11" s="12" t="n">
        <v>15000</v>
      </c>
      <c r="E11" s="8" t="n">
        <f aca="false">AVERAGE(C11:D11)</f>
        <v>10000</v>
      </c>
      <c r="F11" s="11" t="s">
        <v>157</v>
      </c>
      <c r="G11" s="11" t="s">
        <v>158</v>
      </c>
      <c r="H11" s="11" t="s">
        <v>59</v>
      </c>
      <c r="I11" s="11" t="s">
        <v>162</v>
      </c>
    </row>
    <row r="12" customFormat="false" ht="15" hidden="false" customHeight="false" outlineLevel="0" collapsed="false">
      <c r="A12" s="11" t="s">
        <v>35</v>
      </c>
      <c r="B12" s="11" t="s">
        <v>33</v>
      </c>
      <c r="C12" s="12" t="n">
        <v>8372</v>
      </c>
      <c r="D12" s="12" t="n">
        <v>8372</v>
      </c>
      <c r="E12" s="8" t="n">
        <f aca="false">AVERAGE(C12:D12)</f>
        <v>8372</v>
      </c>
      <c r="F12" s="11" t="s">
        <v>157</v>
      </c>
      <c r="G12" s="11" t="s">
        <v>158</v>
      </c>
      <c r="H12" s="11" t="s">
        <v>59</v>
      </c>
      <c r="I12" s="11"/>
    </row>
    <row r="13" customFormat="false" ht="15" hidden="false" customHeight="false" outlineLevel="0" collapsed="false">
      <c r="A13" s="11" t="s">
        <v>36</v>
      </c>
      <c r="B13" s="11" t="s">
        <v>29</v>
      </c>
      <c r="C13" s="12" t="n">
        <v>3000</v>
      </c>
      <c r="D13" s="12" t="n">
        <v>3500</v>
      </c>
      <c r="E13" s="8" t="n">
        <f aca="false">AVERAGE(C13:D13)</f>
        <v>3250</v>
      </c>
      <c r="F13" s="11" t="s">
        <v>157</v>
      </c>
      <c r="G13" s="11" t="s">
        <v>158</v>
      </c>
      <c r="H13" s="11" t="s">
        <v>59</v>
      </c>
      <c r="I13" s="11"/>
    </row>
    <row r="14" customFormat="false" ht="15" hidden="false" customHeight="false" outlineLevel="0" collapsed="false">
      <c r="A14" s="11" t="s">
        <v>36</v>
      </c>
      <c r="B14" s="11" t="s">
        <v>33</v>
      </c>
      <c r="C14" s="12" t="n">
        <v>392</v>
      </c>
      <c r="D14" s="12" t="n">
        <v>392</v>
      </c>
      <c r="E14" s="8" t="n">
        <f aca="false">AVERAGE(C14:D14)</f>
        <v>392</v>
      </c>
      <c r="F14" s="11" t="s">
        <v>157</v>
      </c>
      <c r="G14" s="11" t="s">
        <v>158</v>
      </c>
      <c r="H14" s="11" t="s">
        <v>59</v>
      </c>
      <c r="I14" s="11"/>
    </row>
    <row r="15" customFormat="false" ht="15" hidden="false" customHeight="false" outlineLevel="0" collapsed="false">
      <c r="A15" s="11" t="s">
        <v>163</v>
      </c>
      <c r="B15" s="11" t="s">
        <v>29</v>
      </c>
      <c r="C15" s="12" t="n">
        <v>278</v>
      </c>
      <c r="D15" s="12" t="n">
        <v>278</v>
      </c>
      <c r="E15" s="8" t="n">
        <f aca="false">AVERAGE(C15:D15)</f>
        <v>278</v>
      </c>
      <c r="F15" s="11" t="s">
        <v>157</v>
      </c>
      <c r="G15" s="11" t="s">
        <v>158</v>
      </c>
      <c r="H15" s="11" t="s">
        <v>59</v>
      </c>
      <c r="I15" s="11" t="s">
        <v>164</v>
      </c>
    </row>
    <row r="16" customFormat="false" ht="15" hidden="false" customHeight="false" outlineLevel="0" collapsed="false">
      <c r="A16" s="11" t="s">
        <v>163</v>
      </c>
      <c r="B16" s="11" t="s">
        <v>30</v>
      </c>
      <c r="C16" s="12" t="n">
        <v>898</v>
      </c>
      <c r="D16" s="12" t="n">
        <v>898</v>
      </c>
      <c r="E16" s="8" t="n">
        <f aca="false">AVERAGE(C16:D16)</f>
        <v>898</v>
      </c>
      <c r="F16" s="11" t="s">
        <v>157</v>
      </c>
      <c r="G16" s="11" t="s">
        <v>158</v>
      </c>
      <c r="H16" s="11" t="s">
        <v>59</v>
      </c>
      <c r="I16" s="11"/>
    </row>
    <row r="17" customFormat="false" ht="15" hidden="false" customHeight="false" outlineLevel="0" collapsed="false">
      <c r="A17" s="11" t="s">
        <v>163</v>
      </c>
      <c r="B17" s="11" t="s">
        <v>33</v>
      </c>
      <c r="C17" s="12" t="n">
        <v>13</v>
      </c>
      <c r="D17" s="12" t="n">
        <v>13</v>
      </c>
      <c r="E17" s="8" t="n">
        <f aca="false">AVERAGE(C17:D17)</f>
        <v>13</v>
      </c>
      <c r="F17" s="11" t="s">
        <v>157</v>
      </c>
      <c r="G17" s="11" t="s">
        <v>158</v>
      </c>
      <c r="H17" s="11" t="s">
        <v>59</v>
      </c>
      <c r="I17" s="11"/>
    </row>
    <row r="18" customFormat="false" ht="15" hidden="false" customHeight="false" outlineLevel="0" collapsed="false">
      <c r="A18" s="11" t="s">
        <v>165</v>
      </c>
      <c r="B18" s="11" t="s">
        <v>29</v>
      </c>
      <c r="C18" s="12" t="n">
        <v>23</v>
      </c>
      <c r="D18" s="12" t="n">
        <v>23</v>
      </c>
      <c r="E18" s="8" t="n">
        <f aca="false">AVERAGE(C18:D18)</f>
        <v>23</v>
      </c>
      <c r="F18" s="11" t="s">
        <v>157</v>
      </c>
      <c r="G18" s="11" t="s">
        <v>158</v>
      </c>
      <c r="H18" s="11" t="s">
        <v>59</v>
      </c>
      <c r="I18" s="11" t="s">
        <v>166</v>
      </c>
    </row>
    <row r="19" customFormat="false" ht="15" hidden="false" customHeight="false" outlineLevel="0" collapsed="false">
      <c r="A19" s="11" t="s">
        <v>152</v>
      </c>
      <c r="B19" s="11" t="s">
        <v>29</v>
      </c>
      <c r="C19" s="12" t="n">
        <v>180</v>
      </c>
      <c r="D19" s="12" t="n">
        <v>180</v>
      </c>
      <c r="E19" s="8" t="n">
        <f aca="false">AVERAGE(C19:D19)</f>
        <v>180</v>
      </c>
      <c r="F19" s="11" t="s">
        <v>157</v>
      </c>
      <c r="G19" s="11" t="s">
        <v>158</v>
      </c>
      <c r="H19" s="11" t="s">
        <v>59</v>
      </c>
      <c r="I19" s="11" t="s">
        <v>167</v>
      </c>
    </row>
    <row r="20" customFormat="false" ht="15" hidden="false" customHeight="false" outlineLevel="0" collapsed="false">
      <c r="A20" s="11" t="s">
        <v>151</v>
      </c>
      <c r="B20" s="11" t="s">
        <v>29</v>
      </c>
      <c r="C20" s="12" t="n">
        <v>6</v>
      </c>
      <c r="D20" s="12" t="n">
        <v>6</v>
      </c>
      <c r="E20" s="8" t="n">
        <f aca="false">AVERAGE(C20:D20)</f>
        <v>6</v>
      </c>
      <c r="F20" s="11" t="s">
        <v>157</v>
      </c>
      <c r="G20" s="11" t="s">
        <v>158</v>
      </c>
      <c r="H20" s="11" t="s">
        <v>59</v>
      </c>
      <c r="I20" s="11" t="s">
        <v>168</v>
      </c>
    </row>
    <row r="21" customFormat="false" ht="15" hidden="false" customHeight="false" outlineLevel="0" collapsed="false">
      <c r="A21" s="11" t="s">
        <v>169</v>
      </c>
      <c r="B21" s="11" t="s">
        <v>29</v>
      </c>
      <c r="C21" s="12" t="n">
        <v>18</v>
      </c>
      <c r="D21" s="12" t="n">
        <v>18</v>
      </c>
      <c r="E21" s="8" t="n">
        <f aca="false">AVERAGE(C21:D21)</f>
        <v>18</v>
      </c>
      <c r="F21" s="11" t="s">
        <v>157</v>
      </c>
      <c r="G21" s="11" t="s">
        <v>158</v>
      </c>
      <c r="H21" s="11" t="s">
        <v>59</v>
      </c>
      <c r="I21" s="11"/>
    </row>
    <row r="22" customFormat="false" ht="15" hidden="false" customHeight="false" outlineLevel="0" collapsed="false">
      <c r="A22" s="11" t="s">
        <v>153</v>
      </c>
      <c r="B22" s="11" t="s">
        <v>29</v>
      </c>
      <c r="C22" s="12" t="n">
        <v>8000</v>
      </c>
      <c r="D22" s="12" t="n">
        <v>18500</v>
      </c>
      <c r="E22" s="8" t="n">
        <f aca="false">AVERAGE(C22:D22)</f>
        <v>13250</v>
      </c>
      <c r="F22" s="11" t="s">
        <v>157</v>
      </c>
      <c r="G22" s="11" t="s">
        <v>158</v>
      </c>
      <c r="H22" s="11" t="s">
        <v>59</v>
      </c>
      <c r="I22" s="11"/>
    </row>
    <row r="23" customFormat="false" ht="15" hidden="false" customHeight="false" outlineLevel="0" collapsed="false">
      <c r="A23" s="11" t="s">
        <v>153</v>
      </c>
      <c r="B23" s="11" t="s">
        <v>30</v>
      </c>
      <c r="C23" s="12" t="n">
        <v>18000</v>
      </c>
      <c r="D23" s="12" t="n">
        <v>35000</v>
      </c>
      <c r="E23" s="8" t="n">
        <f aca="false">AVERAGE(C23:D23)</f>
        <v>26500</v>
      </c>
      <c r="F23" s="11" t="s">
        <v>157</v>
      </c>
      <c r="G23" s="11" t="s">
        <v>158</v>
      </c>
      <c r="H23" s="11" t="s">
        <v>59</v>
      </c>
      <c r="I23" s="11"/>
    </row>
    <row r="24" customFormat="false" ht="15" hidden="false" customHeight="false" outlineLevel="0" collapsed="false">
      <c r="A24" s="11" t="s">
        <v>153</v>
      </c>
      <c r="B24" s="11" t="s">
        <v>33</v>
      </c>
      <c r="C24" s="12" t="n">
        <v>8783</v>
      </c>
      <c r="D24" s="12" t="n">
        <v>8783</v>
      </c>
      <c r="E24" s="8" t="n">
        <f aca="false">AVERAGE(C24:D24)</f>
        <v>8783</v>
      </c>
      <c r="F24" s="11" t="s">
        <v>157</v>
      </c>
      <c r="G24" s="11" t="s">
        <v>158</v>
      </c>
      <c r="H24" s="11" t="s">
        <v>59</v>
      </c>
      <c r="I24" s="11"/>
    </row>
    <row r="25" customFormat="false" ht="15" hidden="false" customHeight="false" outlineLevel="0" collapsed="false">
      <c r="A25" s="11" t="s">
        <v>153</v>
      </c>
      <c r="B25" s="11" t="s">
        <v>31</v>
      </c>
      <c r="C25" s="12" t="n">
        <v>2250</v>
      </c>
      <c r="D25" s="12" t="n">
        <v>2300</v>
      </c>
      <c r="E25" s="8" t="n">
        <f aca="false">AVERAGE(C25:D25)</f>
        <v>2275</v>
      </c>
      <c r="F25" s="11" t="s">
        <v>133</v>
      </c>
      <c r="G25" s="11" t="s">
        <v>158</v>
      </c>
      <c r="H25" s="11" t="s">
        <v>59</v>
      </c>
      <c r="I25" s="11" t="s">
        <v>170</v>
      </c>
    </row>
    <row r="26" customFormat="false" ht="15" hidden="false" customHeight="false" outlineLevel="0" collapsed="false">
      <c r="A26" s="11" t="s">
        <v>153</v>
      </c>
      <c r="B26" s="11" t="s">
        <v>32</v>
      </c>
      <c r="C26" s="12" t="n">
        <v>341</v>
      </c>
      <c r="D26" s="12" t="n">
        <v>514</v>
      </c>
      <c r="E26" s="8" t="n">
        <f aca="false">AVERAGE(C26:D26)</f>
        <v>427.5</v>
      </c>
      <c r="F26" s="11" t="s">
        <v>137</v>
      </c>
      <c r="G26" s="11" t="s">
        <v>158</v>
      </c>
      <c r="H26" s="11" t="s">
        <v>59</v>
      </c>
      <c r="I26" s="11"/>
    </row>
    <row r="27" customFormat="false" ht="15" hidden="false" customHeight="false" outlineLevel="0" collapsed="false">
      <c r="A27" s="11" t="s">
        <v>153</v>
      </c>
      <c r="B27" s="11" t="s">
        <v>171</v>
      </c>
      <c r="C27" s="12" t="n">
        <v>19</v>
      </c>
      <c r="D27" s="12" t="n">
        <v>19</v>
      </c>
      <c r="E27" s="8" t="n">
        <f aca="false">AVERAGE(C27:D27)</f>
        <v>19</v>
      </c>
      <c r="F27" s="11" t="s">
        <v>143</v>
      </c>
      <c r="G27" s="11" t="s">
        <v>158</v>
      </c>
      <c r="H27" s="11" t="s">
        <v>59</v>
      </c>
      <c r="I27" s="11"/>
    </row>
    <row r="28" customFormat="false" ht="15" hidden="false" customHeight="false" outlineLevel="0" collapsed="false">
      <c r="A28" s="11" t="s">
        <v>172</v>
      </c>
      <c r="B28" s="11" t="s">
        <v>173</v>
      </c>
      <c r="C28" s="12" t="n">
        <v>27</v>
      </c>
      <c r="D28" s="12" t="n">
        <v>27</v>
      </c>
      <c r="E28" s="8" t="n">
        <f aca="false">AVERAGE(C28:D28)</f>
        <v>27</v>
      </c>
      <c r="F28" s="11" t="s">
        <v>137</v>
      </c>
      <c r="G28" s="11" t="s">
        <v>174</v>
      </c>
      <c r="H28" s="11" t="s">
        <v>68</v>
      </c>
      <c r="I28" s="11" t="s">
        <v>175</v>
      </c>
    </row>
    <row r="29" customFormat="false" ht="15" hidden="false" customHeight="false" outlineLevel="0" collapsed="false">
      <c r="A29" s="11" t="s">
        <v>172</v>
      </c>
      <c r="B29" s="11" t="s">
        <v>38</v>
      </c>
      <c r="C29" s="12" t="n">
        <v>60</v>
      </c>
      <c r="D29" s="12" t="n">
        <v>60</v>
      </c>
      <c r="E29" s="8" t="n">
        <f aca="false">AVERAGE(C29:D29)</f>
        <v>60</v>
      </c>
      <c r="F29" s="11" t="s">
        <v>133</v>
      </c>
      <c r="G29" s="11" t="s">
        <v>174</v>
      </c>
      <c r="H29" s="11" t="s">
        <v>68</v>
      </c>
      <c r="I29" s="11" t="s">
        <v>176</v>
      </c>
    </row>
    <row r="30" customFormat="false" ht="15" hidden="false" customHeight="false" outlineLevel="0" collapsed="false">
      <c r="A30" s="11" t="s">
        <v>177</v>
      </c>
      <c r="B30" s="11" t="s">
        <v>173</v>
      </c>
      <c r="C30" s="12" t="n">
        <v>15</v>
      </c>
      <c r="D30" s="12" t="n">
        <v>15</v>
      </c>
      <c r="E30" s="8" t="n">
        <f aca="false">AVERAGE(C30:D30)</f>
        <v>15</v>
      </c>
      <c r="F30" s="11" t="s">
        <v>137</v>
      </c>
      <c r="G30" s="11" t="s">
        <v>174</v>
      </c>
      <c r="H30" s="11" t="s">
        <v>68</v>
      </c>
      <c r="I30" s="11" t="s">
        <v>176</v>
      </c>
    </row>
    <row r="31" customFormat="false" ht="15" hidden="false" customHeight="false" outlineLevel="0" collapsed="false">
      <c r="A31" s="11" t="s">
        <v>178</v>
      </c>
      <c r="B31" s="11" t="s">
        <v>173</v>
      </c>
      <c r="C31" s="12" t="n">
        <v>49</v>
      </c>
      <c r="D31" s="12" t="n">
        <v>49</v>
      </c>
      <c r="E31" s="8" t="n">
        <f aca="false">AVERAGE(C31:D31)</f>
        <v>49</v>
      </c>
      <c r="F31" s="11" t="s">
        <v>137</v>
      </c>
      <c r="G31" s="11" t="s">
        <v>179</v>
      </c>
      <c r="H31" s="11" t="s">
        <v>91</v>
      </c>
      <c r="I31" s="11" t="s">
        <v>176</v>
      </c>
    </row>
    <row r="32" customFormat="false" ht="15" hidden="false" customHeight="false" outlineLevel="0" collapsed="false">
      <c r="A32" s="11" t="s">
        <v>178</v>
      </c>
      <c r="B32" s="11" t="s">
        <v>38</v>
      </c>
      <c r="C32" s="12" t="n">
        <v>500</v>
      </c>
      <c r="D32" s="12" t="n">
        <v>500</v>
      </c>
      <c r="E32" s="8" t="n">
        <f aca="false">AVERAGE(C32:D32)</f>
        <v>500</v>
      </c>
      <c r="F32" s="11" t="s">
        <v>133</v>
      </c>
      <c r="G32" s="11" t="s">
        <v>179</v>
      </c>
      <c r="H32" s="11" t="s">
        <v>91</v>
      </c>
      <c r="I32" s="11" t="s">
        <v>180</v>
      </c>
    </row>
  </sheetData>
  <autoFilter ref="A4:I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6063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8" min="7" style="0" width="34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5" hidden="false" customHeight="false" outlineLevel="0" collapsed="false">
      <c r="A4" s="5" t="s">
        <v>183</v>
      </c>
      <c r="B4" s="5" t="s">
        <v>127</v>
      </c>
      <c r="C4" s="5" t="s">
        <v>184</v>
      </c>
      <c r="D4" s="5" t="s">
        <v>129</v>
      </c>
      <c r="E4" s="5" t="s">
        <v>156</v>
      </c>
      <c r="F4" s="5" t="s">
        <v>52</v>
      </c>
      <c r="G4" s="5" t="s">
        <v>53</v>
      </c>
      <c r="H4" s="5" t="s">
        <v>130</v>
      </c>
    </row>
    <row r="5" customFormat="false" ht="23.85" hidden="false" customHeight="false" outlineLevel="0" collapsed="false">
      <c r="A5" s="11" t="s">
        <v>185</v>
      </c>
      <c r="B5" s="11" t="s">
        <v>186</v>
      </c>
      <c r="C5" s="12" t="n">
        <v>220</v>
      </c>
      <c r="D5" s="11" t="s">
        <v>137</v>
      </c>
      <c r="E5" s="11" t="s">
        <v>187</v>
      </c>
      <c r="F5" s="11" t="s">
        <v>68</v>
      </c>
      <c r="G5" s="11" t="s">
        <v>69</v>
      </c>
      <c r="H5" s="11" t="s">
        <v>188</v>
      </c>
    </row>
    <row r="6" customFormat="false" ht="23.85" hidden="false" customHeight="false" outlineLevel="0" collapsed="false">
      <c r="A6" s="11" t="s">
        <v>189</v>
      </c>
      <c r="B6" s="11" t="s">
        <v>190</v>
      </c>
      <c r="C6" s="12" t="n">
        <v>1000</v>
      </c>
      <c r="D6" s="11" t="s">
        <v>191</v>
      </c>
      <c r="E6" s="11" t="s">
        <v>187</v>
      </c>
      <c r="F6" s="11" t="s">
        <v>68</v>
      </c>
      <c r="G6" s="11" t="s">
        <v>69</v>
      </c>
      <c r="H6" s="11" t="s">
        <v>192</v>
      </c>
    </row>
    <row r="7" customFormat="false" ht="23.85" hidden="false" customHeight="false" outlineLevel="0" collapsed="false">
      <c r="A7" s="11" t="s">
        <v>189</v>
      </c>
      <c r="B7" s="11" t="s">
        <v>193</v>
      </c>
      <c r="C7" s="12" t="n">
        <v>60</v>
      </c>
      <c r="D7" s="11" t="s">
        <v>194</v>
      </c>
      <c r="E7" s="11" t="s">
        <v>187</v>
      </c>
      <c r="F7" s="11" t="s">
        <v>68</v>
      </c>
      <c r="G7" s="11" t="s">
        <v>69</v>
      </c>
      <c r="H7" s="11" t="s">
        <v>195</v>
      </c>
    </row>
    <row r="8" customFormat="false" ht="23.85" hidden="false" customHeight="false" outlineLevel="0" collapsed="false">
      <c r="A8" s="11" t="s">
        <v>189</v>
      </c>
      <c r="B8" s="11" t="s">
        <v>196</v>
      </c>
      <c r="C8" s="12" t="n">
        <v>8</v>
      </c>
      <c r="D8" s="11" t="s">
        <v>197</v>
      </c>
      <c r="E8" s="11" t="s">
        <v>187</v>
      </c>
      <c r="F8" s="11" t="s">
        <v>68</v>
      </c>
      <c r="G8" s="11" t="s">
        <v>69</v>
      </c>
      <c r="H8" s="11"/>
    </row>
    <row r="9" customFormat="false" ht="23.85" hidden="false" customHeight="false" outlineLevel="0" collapsed="false">
      <c r="A9" s="11" t="s">
        <v>189</v>
      </c>
      <c r="B9" s="11" t="s">
        <v>198</v>
      </c>
      <c r="C9" s="12" t="n">
        <v>4</v>
      </c>
      <c r="D9" s="11" t="s">
        <v>197</v>
      </c>
      <c r="E9" s="11" t="s">
        <v>187</v>
      </c>
      <c r="F9" s="11" t="s">
        <v>68</v>
      </c>
      <c r="G9" s="11" t="s">
        <v>69</v>
      </c>
      <c r="H9" s="11"/>
    </row>
    <row r="10" customFormat="false" ht="23.85" hidden="false" customHeight="false" outlineLevel="0" collapsed="false">
      <c r="A10" s="11" t="s">
        <v>189</v>
      </c>
      <c r="B10" s="11" t="s">
        <v>199</v>
      </c>
      <c r="C10" s="12" t="n">
        <v>30</v>
      </c>
      <c r="D10" s="11" t="s">
        <v>200</v>
      </c>
      <c r="E10" s="11" t="s">
        <v>187</v>
      </c>
      <c r="F10" s="11" t="s">
        <v>68</v>
      </c>
      <c r="G10" s="11" t="s">
        <v>69</v>
      </c>
      <c r="H10" s="11"/>
    </row>
    <row r="11" customFormat="false" ht="15" hidden="false" customHeight="false" outlineLevel="0" collapsed="false">
      <c r="A11" s="11" t="s">
        <v>201</v>
      </c>
      <c r="B11" s="11" t="s">
        <v>202</v>
      </c>
      <c r="C11" s="12" t="n">
        <v>1020</v>
      </c>
      <c r="D11" s="11" t="s">
        <v>133</v>
      </c>
      <c r="E11" s="11" t="s">
        <v>158</v>
      </c>
      <c r="F11" s="11" t="s">
        <v>59</v>
      </c>
      <c r="G11" s="11" t="s">
        <v>60</v>
      </c>
      <c r="H11" s="11" t="s">
        <v>203</v>
      </c>
    </row>
    <row r="12" customFormat="false" ht="15" hidden="false" customHeight="false" outlineLevel="0" collapsed="false">
      <c r="A12" s="11" t="s">
        <v>201</v>
      </c>
      <c r="B12" s="11" t="s">
        <v>204</v>
      </c>
      <c r="C12" s="12" t="n">
        <v>62</v>
      </c>
      <c r="D12" s="11" t="s">
        <v>145</v>
      </c>
      <c r="E12" s="11" t="s">
        <v>158</v>
      </c>
      <c r="F12" s="11" t="s">
        <v>59</v>
      </c>
      <c r="G12" s="11" t="s">
        <v>60</v>
      </c>
      <c r="H12" s="11" t="s">
        <v>205</v>
      </c>
    </row>
    <row r="13" customFormat="false" ht="15" hidden="false" customHeight="false" outlineLevel="0" collapsed="false">
      <c r="A13" s="11" t="s">
        <v>206</v>
      </c>
      <c r="B13" s="11" t="s">
        <v>207</v>
      </c>
      <c r="C13" s="12"/>
      <c r="D13" s="11" t="s">
        <v>208</v>
      </c>
      <c r="E13" s="11" t="s">
        <v>209</v>
      </c>
      <c r="F13" s="11" t="s">
        <v>87</v>
      </c>
      <c r="G13" s="11" t="s">
        <v>60</v>
      </c>
      <c r="H13" s="11" t="s">
        <v>210</v>
      </c>
    </row>
    <row r="14" customFormat="false" ht="15" hidden="false" customHeight="false" outlineLevel="0" collapsed="false">
      <c r="A14" s="13" t="s">
        <v>211</v>
      </c>
      <c r="C14" s="8" t="n">
        <f aca="false">SUM(C8:C10)</f>
        <v>42</v>
      </c>
      <c r="D14" s="6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B5D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80"/>
    <col collapsed="false" customWidth="true" hidden="false" outlineLevel="0" max="4" min="4" style="0" width="8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5" t="s">
        <v>45</v>
      </c>
      <c r="B4" s="5" t="s">
        <v>215</v>
      </c>
      <c r="C4" s="5" t="s">
        <v>216</v>
      </c>
      <c r="D4" s="5" t="s">
        <v>52</v>
      </c>
      <c r="E4" s="5" t="s">
        <v>53</v>
      </c>
    </row>
    <row r="5" customFormat="false" ht="23.85" hidden="false" customHeight="false" outlineLevel="0" collapsed="false">
      <c r="A5" s="10" t="n">
        <v>26959</v>
      </c>
      <c r="B5" s="11" t="s">
        <v>217</v>
      </c>
      <c r="C5" s="11" t="s">
        <v>218</v>
      </c>
      <c r="D5" s="11" t="s">
        <v>112</v>
      </c>
      <c r="E5" s="11" t="s">
        <v>60</v>
      </c>
    </row>
    <row r="6" customFormat="false" ht="15" hidden="false" customHeight="false" outlineLevel="0" collapsed="false">
      <c r="A6" s="10" t="n">
        <v>26959</v>
      </c>
      <c r="B6" s="11" t="s">
        <v>219</v>
      </c>
      <c r="C6" s="11" t="s">
        <v>220</v>
      </c>
      <c r="D6" s="11" t="s">
        <v>76</v>
      </c>
      <c r="E6" s="11" t="s">
        <v>60</v>
      </c>
    </row>
    <row r="7" customFormat="false" ht="15" hidden="false" customHeight="false" outlineLevel="0" collapsed="false">
      <c r="A7" s="10" t="n">
        <v>26960</v>
      </c>
      <c r="B7" s="11" t="s">
        <v>221</v>
      </c>
      <c r="C7" s="11" t="s">
        <v>222</v>
      </c>
      <c r="D7" s="11" t="s">
        <v>80</v>
      </c>
      <c r="E7" s="11" t="s">
        <v>60</v>
      </c>
    </row>
    <row r="8" customFormat="false" ht="23.85" hidden="false" customHeight="false" outlineLevel="0" collapsed="false">
      <c r="A8" s="10" t="n">
        <v>26962</v>
      </c>
      <c r="B8" s="11" t="s">
        <v>223</v>
      </c>
      <c r="C8" s="11" t="s">
        <v>224</v>
      </c>
      <c r="D8" s="11" t="s">
        <v>80</v>
      </c>
      <c r="E8" s="11" t="s">
        <v>60</v>
      </c>
    </row>
    <row r="9" customFormat="false" ht="15" hidden="false" customHeight="false" outlineLevel="0" collapsed="false">
      <c r="A9" s="10" t="n">
        <v>26962</v>
      </c>
      <c r="B9" s="11" t="s">
        <v>225</v>
      </c>
      <c r="C9" s="11" t="s">
        <v>226</v>
      </c>
      <c r="D9" s="11" t="s">
        <v>76</v>
      </c>
      <c r="E9" s="11" t="s">
        <v>60</v>
      </c>
    </row>
    <row r="10" customFormat="false" ht="15" hidden="false" customHeight="false" outlineLevel="0" collapsed="false">
      <c r="A10" s="10" t="n">
        <v>26964</v>
      </c>
      <c r="B10" s="11" t="s">
        <v>227</v>
      </c>
      <c r="C10" s="11" t="s">
        <v>228</v>
      </c>
      <c r="D10" s="11" t="s">
        <v>80</v>
      </c>
      <c r="E10" s="11" t="s">
        <v>60</v>
      </c>
    </row>
    <row r="11" customFormat="false" ht="23.85" hidden="false" customHeight="false" outlineLevel="0" collapsed="false">
      <c r="A11" s="10" t="n">
        <v>26964</v>
      </c>
      <c r="B11" s="11" t="s">
        <v>229</v>
      </c>
      <c r="C11" s="11" t="s">
        <v>230</v>
      </c>
      <c r="D11" s="11" t="s">
        <v>231</v>
      </c>
      <c r="E11" s="11" t="s">
        <v>60</v>
      </c>
    </row>
    <row r="12" customFormat="false" ht="15" hidden="false" customHeight="false" outlineLevel="0" collapsed="false">
      <c r="A12" s="10" t="n">
        <v>27047</v>
      </c>
      <c r="B12" s="11" t="s">
        <v>232</v>
      </c>
      <c r="C12" s="11" t="s">
        <v>233</v>
      </c>
      <c r="D12" s="11" t="s">
        <v>100</v>
      </c>
      <c r="E12" s="11" t="s">
        <v>60</v>
      </c>
    </row>
    <row r="13" customFormat="false" ht="15" hidden="false" customHeight="false" outlineLevel="0" collapsed="false">
      <c r="A13" s="10" t="n">
        <v>27106</v>
      </c>
      <c r="B13" s="11" t="s">
        <v>234</v>
      </c>
      <c r="C13" s="11" t="s">
        <v>235</v>
      </c>
      <c r="D13" s="11" t="s">
        <v>236</v>
      </c>
      <c r="E13" s="1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44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4" customFormat="false" ht="23.85" hidden="false" customHeight="false" outlineLevel="0" collapsed="false">
      <c r="A4" s="5" t="s">
        <v>45</v>
      </c>
      <c r="B4" s="5" t="s">
        <v>239</v>
      </c>
      <c r="C4" s="5" t="s">
        <v>240</v>
      </c>
      <c r="D4" s="5" t="s">
        <v>241</v>
      </c>
      <c r="E4" s="5" t="s">
        <v>52</v>
      </c>
      <c r="F4" s="5" t="s">
        <v>130</v>
      </c>
    </row>
    <row r="5" customFormat="false" ht="15" hidden="false" customHeight="false" outlineLevel="0" collapsed="false">
      <c r="A5" s="11" t="s">
        <v>242</v>
      </c>
      <c r="B5" s="11" t="s">
        <v>243</v>
      </c>
      <c r="C5" s="14" t="n">
        <v>2.9</v>
      </c>
      <c r="D5" s="15" t="n">
        <f aca="false">C5/$C$5-1</f>
        <v>0</v>
      </c>
      <c r="E5" s="11" t="s">
        <v>107</v>
      </c>
      <c r="F5" s="11" t="s">
        <v>244</v>
      </c>
    </row>
    <row r="6" customFormat="false" ht="23.85" hidden="false" customHeight="false" outlineLevel="0" collapsed="false">
      <c r="A6" s="11" t="s">
        <v>245</v>
      </c>
      <c r="B6" s="11" t="s">
        <v>246</v>
      </c>
      <c r="C6" s="14" t="n">
        <v>5.12</v>
      </c>
      <c r="D6" s="15" t="n">
        <f aca="false">C6/$C$5-1</f>
        <v>0.765517241379311</v>
      </c>
      <c r="E6" s="11" t="s">
        <v>247</v>
      </c>
      <c r="F6" s="11" t="s">
        <v>248</v>
      </c>
    </row>
    <row r="7" customFormat="false" ht="15" hidden="false" customHeight="false" outlineLevel="0" collapsed="false">
      <c r="A7" s="11" t="s">
        <v>249</v>
      </c>
      <c r="B7" s="11" t="s">
        <v>250</v>
      </c>
      <c r="C7" s="14" t="n">
        <v>7</v>
      </c>
      <c r="D7" s="15" t="n">
        <f aca="false">C7/$C$5-1</f>
        <v>1.41379310344828</v>
      </c>
      <c r="E7" s="11" t="s">
        <v>247</v>
      </c>
      <c r="F7" s="11"/>
    </row>
    <row r="8" customFormat="false" ht="15" hidden="false" customHeight="false" outlineLevel="0" collapsed="false">
      <c r="A8" s="11" t="s">
        <v>251</v>
      </c>
      <c r="B8" s="11" t="s">
        <v>252</v>
      </c>
      <c r="C8" s="14" t="n">
        <v>11.65</v>
      </c>
      <c r="D8" s="15" t="n">
        <f aca="false">C8/$C$5-1</f>
        <v>3.01724137931035</v>
      </c>
      <c r="E8" s="11" t="s">
        <v>107</v>
      </c>
      <c r="F8" s="11" t="s">
        <v>253</v>
      </c>
    </row>
    <row r="10" customFormat="false" ht="23.85" hidden="false" customHeight="false" outlineLevel="0" collapsed="false">
      <c r="A10" s="13" t="s">
        <v>254</v>
      </c>
    </row>
    <row r="11" customFormat="false" ht="15" hidden="false" customHeight="false" outlineLevel="0" collapsed="false">
      <c r="A11" s="5" t="s">
        <v>45</v>
      </c>
      <c r="B11" s="5" t="s">
        <v>50</v>
      </c>
      <c r="C11" s="5"/>
      <c r="D11" s="5"/>
      <c r="E11" s="5" t="s">
        <v>52</v>
      </c>
      <c r="F11" s="5" t="s">
        <v>130</v>
      </c>
    </row>
    <row r="12" customFormat="false" ht="15" hidden="false" customHeight="false" outlineLevel="0" collapsed="false">
      <c r="A12" s="11" t="s">
        <v>255</v>
      </c>
      <c r="B12" s="11" t="s">
        <v>256</v>
      </c>
      <c r="C12" s="6"/>
      <c r="D12" s="6"/>
      <c r="E12" s="11" t="s">
        <v>87</v>
      </c>
      <c r="F12" s="11" t="s">
        <v>257</v>
      </c>
    </row>
    <row r="13" customFormat="false" ht="23.85" hidden="false" customHeight="false" outlineLevel="0" collapsed="false">
      <c r="A13" s="11" t="s">
        <v>258</v>
      </c>
      <c r="B13" s="11" t="s">
        <v>259</v>
      </c>
      <c r="C13" s="6"/>
      <c r="D13" s="6"/>
      <c r="E13" s="11" t="s">
        <v>107</v>
      </c>
      <c r="F13" s="11"/>
    </row>
    <row r="14" customFormat="false" ht="15" hidden="false" customHeight="false" outlineLevel="0" collapsed="false">
      <c r="A14" s="11" t="s">
        <v>260</v>
      </c>
      <c r="B14" s="11" t="s">
        <v>261</v>
      </c>
      <c r="C14" s="6"/>
      <c r="D14" s="6"/>
      <c r="E14" s="11" t="s">
        <v>107</v>
      </c>
      <c r="F14" s="11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8AB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23.85" hidden="false" customHeight="false" outlineLevel="0" collapsed="false">
      <c r="A4" s="5" t="s">
        <v>45</v>
      </c>
      <c r="B4" s="5" t="s">
        <v>46</v>
      </c>
      <c r="C4" s="5" t="s">
        <v>47</v>
      </c>
      <c r="D4" s="5" t="s">
        <v>265</v>
      </c>
      <c r="E4" s="5" t="s">
        <v>266</v>
      </c>
      <c r="F4" s="5" t="s">
        <v>267</v>
      </c>
      <c r="G4" s="5" t="s">
        <v>268</v>
      </c>
    </row>
    <row r="5" customFormat="false" ht="15" hidden="false" customHeight="false" outlineLevel="0" collapsed="false">
      <c r="A5" s="10" t="n">
        <v>26943</v>
      </c>
      <c r="B5" s="7" t="n">
        <f aca="false">A5-DATE(1973,10,6)+1</f>
        <v>1</v>
      </c>
      <c r="C5" s="6" t="str">
        <f aca="false">INDEX(Lists!$B$5:$B$9,MATCH(A5,Lists!$A$5:$A$9,1))</f>
        <v>6 October</v>
      </c>
      <c r="D5" s="7" t="n">
        <f aca="false">COUNTIF(Timeline!$A$5:$A$89,A5)</f>
        <v>5</v>
      </c>
      <c r="E5" s="7" t="n">
        <f aca="false">COUNTIFS(Timeline!$A$5:$A$89,A5,Timeline!$D$5:$D$89,"Sinai")</f>
        <v>4</v>
      </c>
      <c r="F5" s="7" t="n">
        <f aca="false">COUNTIFS(Timeline!$A$5:$A$89,A5,Timeline!$D$5:$D$89,"Golan")</f>
        <v>1</v>
      </c>
      <c r="G5" s="7" t="n">
        <f aca="false">COUNTIFS(Timeline!$A$5:$A$89,A5,Timeline!$D$5:$D$89,"Global / Diplomatic")</f>
        <v>0</v>
      </c>
    </row>
    <row r="6" customFormat="false" ht="15" hidden="false" customHeight="false" outlineLevel="0" collapsed="false">
      <c r="A6" s="10" t="n">
        <v>26944</v>
      </c>
      <c r="B6" s="7" t="n">
        <f aca="false">A6-DATE(1973,10,6)+1</f>
        <v>2</v>
      </c>
      <c r="C6" s="6" t="str">
        <f aca="false">INDEX(Lists!$B$5:$B$9,MATCH(A6,Lists!$A$5:$A$9,1))</f>
        <v>First Week</v>
      </c>
      <c r="D6" s="7" t="n">
        <f aca="false">COUNTIF(Timeline!$A$5:$A$89,A6)</f>
        <v>1</v>
      </c>
      <c r="E6" s="7" t="n">
        <f aca="false">COUNTIFS(Timeline!$A$5:$A$89,A6,Timeline!$D$5:$D$89,"Sinai")</f>
        <v>1</v>
      </c>
      <c r="F6" s="7" t="n">
        <f aca="false">COUNTIFS(Timeline!$A$5:$A$89,A6,Timeline!$D$5:$D$89,"Golan")</f>
        <v>0</v>
      </c>
      <c r="G6" s="7" t="n">
        <f aca="false">COUNTIFS(Timeline!$A$5:$A$89,A6,Timeline!$D$5:$D$89,"Global / Diplomatic")</f>
        <v>0</v>
      </c>
    </row>
    <row r="7" customFormat="false" ht="15" hidden="false" customHeight="false" outlineLevel="0" collapsed="false">
      <c r="A7" s="10" t="n">
        <v>26945</v>
      </c>
      <c r="B7" s="7" t="n">
        <f aca="false">A7-DATE(1973,10,6)+1</f>
        <v>3</v>
      </c>
      <c r="C7" s="6" t="str">
        <f aca="false">INDEX(Lists!$B$5:$B$9,MATCH(A7,Lists!$A$5:$A$9,1))</f>
        <v>First Week</v>
      </c>
      <c r="D7" s="7" t="n">
        <f aca="false">COUNTIF(Timeline!$A$5:$A$89,A7)</f>
        <v>1</v>
      </c>
      <c r="E7" s="7" t="n">
        <f aca="false">COUNTIFS(Timeline!$A$5:$A$89,A7,Timeline!$D$5:$D$89,"Sinai")</f>
        <v>1</v>
      </c>
      <c r="F7" s="7" t="n">
        <f aca="false">COUNTIFS(Timeline!$A$5:$A$89,A7,Timeline!$D$5:$D$89,"Golan")</f>
        <v>0</v>
      </c>
      <c r="G7" s="7" t="n">
        <f aca="false">COUNTIFS(Timeline!$A$5:$A$89,A7,Timeline!$D$5:$D$89,"Global / Diplomatic")</f>
        <v>0</v>
      </c>
    </row>
    <row r="8" customFormat="false" ht="15" hidden="false" customHeight="false" outlineLevel="0" collapsed="false">
      <c r="A8" s="10" t="n">
        <v>26946</v>
      </c>
      <c r="B8" s="7" t="n">
        <f aca="false">A8-DATE(1973,10,6)+1</f>
        <v>4</v>
      </c>
      <c r="C8" s="6" t="str">
        <f aca="false">INDEX(Lists!$B$5:$B$9,MATCH(A8,Lists!$A$5:$A$9,1))</f>
        <v>First Week</v>
      </c>
      <c r="D8" s="7" t="n">
        <f aca="false">COUNTIF(Timeline!$A$5:$A$89,A8)</f>
        <v>1</v>
      </c>
      <c r="E8" s="7" t="n">
        <f aca="false">COUNTIFS(Timeline!$A$5:$A$89,A8,Timeline!$D$5:$D$89,"Sinai")</f>
        <v>0</v>
      </c>
      <c r="F8" s="7" t="n">
        <f aca="false">COUNTIFS(Timeline!$A$5:$A$89,A8,Timeline!$D$5:$D$89,"Golan")</f>
        <v>0</v>
      </c>
      <c r="G8" s="7" t="n">
        <f aca="false">COUNTIFS(Timeline!$A$5:$A$89,A8,Timeline!$D$5:$D$89,"Global / Diplomatic")</f>
        <v>1</v>
      </c>
    </row>
    <row r="9" customFormat="false" ht="15" hidden="false" customHeight="false" outlineLevel="0" collapsed="false">
      <c r="A9" s="10" t="n">
        <v>26947</v>
      </c>
      <c r="B9" s="7" t="n">
        <f aca="false">A9-DATE(1973,10,6)+1</f>
        <v>5</v>
      </c>
      <c r="C9" s="6" t="str">
        <f aca="false">INDEX(Lists!$B$5:$B$9,MATCH(A9,Lists!$A$5:$A$9,1))</f>
        <v>First Week</v>
      </c>
      <c r="D9" s="7" t="n">
        <f aca="false">COUNTIF(Timeline!$A$5:$A$89,A9)</f>
        <v>0</v>
      </c>
      <c r="E9" s="7" t="n">
        <f aca="false">COUNTIFS(Timeline!$A$5:$A$89,A9,Timeline!$D$5:$D$89,"Sinai")</f>
        <v>0</v>
      </c>
      <c r="F9" s="7" t="n">
        <f aca="false">COUNTIFS(Timeline!$A$5:$A$89,A9,Timeline!$D$5:$D$89,"Golan")</f>
        <v>0</v>
      </c>
      <c r="G9" s="7" t="n">
        <f aca="false">COUNTIFS(Timeline!$A$5:$A$89,A9,Timeline!$D$5:$D$89,"Global / Diplomatic")</f>
        <v>0</v>
      </c>
    </row>
    <row r="10" customFormat="false" ht="15" hidden="false" customHeight="false" outlineLevel="0" collapsed="false">
      <c r="A10" s="10" t="n">
        <v>26948</v>
      </c>
      <c r="B10" s="7" t="n">
        <f aca="false">A10-DATE(1973,10,6)+1</f>
        <v>6</v>
      </c>
      <c r="C10" s="6" t="str">
        <f aca="false">INDEX(Lists!$B$5:$B$9,MATCH(A10,Lists!$A$5:$A$9,1))</f>
        <v>First Week</v>
      </c>
      <c r="D10" s="7" t="n">
        <f aca="false">COUNTIF(Timeline!$A$5:$A$89,A10)</f>
        <v>1</v>
      </c>
      <c r="E10" s="7" t="n">
        <f aca="false">COUNTIFS(Timeline!$A$5:$A$89,A10,Timeline!$D$5:$D$89,"Sinai")</f>
        <v>0</v>
      </c>
      <c r="F10" s="7" t="n">
        <f aca="false">COUNTIFS(Timeline!$A$5:$A$89,A10,Timeline!$D$5:$D$89,"Golan")</f>
        <v>1</v>
      </c>
      <c r="G10" s="7" t="n">
        <f aca="false">COUNTIFS(Timeline!$A$5:$A$89,A10,Timeline!$D$5:$D$89,"Global / Diplomatic")</f>
        <v>0</v>
      </c>
    </row>
    <row r="11" customFormat="false" ht="15" hidden="false" customHeight="false" outlineLevel="0" collapsed="false">
      <c r="A11" s="10" t="n">
        <v>26949</v>
      </c>
      <c r="B11" s="7" t="n">
        <f aca="false">A11-DATE(1973,10,6)+1</f>
        <v>7</v>
      </c>
      <c r="C11" s="6" t="str">
        <f aca="false">INDEX(Lists!$B$5:$B$9,MATCH(A11,Lists!$A$5:$A$9,1))</f>
        <v>First Week</v>
      </c>
      <c r="D11" s="7" t="n">
        <f aca="false">COUNTIF(Timeline!$A$5:$A$89,A11)</f>
        <v>1</v>
      </c>
      <c r="E11" s="7" t="n">
        <f aca="false">COUNTIFS(Timeline!$A$5:$A$89,A11,Timeline!$D$5:$D$89,"Sinai")</f>
        <v>0</v>
      </c>
      <c r="F11" s="7" t="n">
        <f aca="false">COUNTIFS(Timeline!$A$5:$A$89,A11,Timeline!$D$5:$D$89,"Golan")</f>
        <v>0</v>
      </c>
      <c r="G11" s="7" t="n">
        <f aca="false">COUNTIFS(Timeline!$A$5:$A$89,A11,Timeline!$D$5:$D$89,"Global / Diplomatic")</f>
        <v>1</v>
      </c>
    </row>
    <row r="12" customFormat="false" ht="15" hidden="false" customHeight="false" outlineLevel="0" collapsed="false">
      <c r="A12" s="10" t="n">
        <v>26950</v>
      </c>
      <c r="B12" s="7" t="n">
        <f aca="false">A12-DATE(1973,10,6)+1</f>
        <v>8</v>
      </c>
      <c r="C12" s="6" t="str">
        <f aca="false">INDEX(Lists!$B$5:$B$9,MATCH(A12,Lists!$A$5:$A$9,1))</f>
        <v>First Week</v>
      </c>
      <c r="D12" s="7" t="n">
        <f aca="false">COUNTIF(Timeline!$A$5:$A$89,A12)</f>
        <v>0</v>
      </c>
      <c r="E12" s="7" t="n">
        <f aca="false">COUNTIFS(Timeline!$A$5:$A$89,A12,Timeline!$D$5:$D$89,"Sinai")</f>
        <v>0</v>
      </c>
      <c r="F12" s="7" t="n">
        <f aca="false">COUNTIFS(Timeline!$A$5:$A$89,A12,Timeline!$D$5:$D$89,"Golan")</f>
        <v>0</v>
      </c>
      <c r="G12" s="7" t="n">
        <f aca="false">COUNTIFS(Timeline!$A$5:$A$89,A12,Timeline!$D$5:$D$89,"Global / Diplomatic")</f>
        <v>0</v>
      </c>
    </row>
    <row r="13" customFormat="false" ht="15" hidden="false" customHeight="false" outlineLevel="0" collapsed="false">
      <c r="A13" s="10" t="n">
        <v>26951</v>
      </c>
      <c r="B13" s="7" t="n">
        <f aca="false">A13-DATE(1973,10,6)+1</f>
        <v>9</v>
      </c>
      <c r="C13" s="6" t="str">
        <f aca="false">INDEX(Lists!$B$5:$B$9,MATCH(A13,Lists!$A$5:$A$9,1))</f>
        <v>Counteroffensive</v>
      </c>
      <c r="D13" s="7" t="n">
        <f aca="false">COUNTIF(Timeline!$A$5:$A$89,A13)</f>
        <v>2</v>
      </c>
      <c r="E13" s="7" t="n">
        <f aca="false">COUNTIFS(Timeline!$A$5:$A$89,A13,Timeline!$D$5:$D$89,"Sinai")</f>
        <v>1</v>
      </c>
      <c r="F13" s="7" t="n">
        <f aca="false">COUNTIFS(Timeline!$A$5:$A$89,A13,Timeline!$D$5:$D$89,"Golan")</f>
        <v>0</v>
      </c>
      <c r="G13" s="7" t="n">
        <f aca="false">COUNTIFS(Timeline!$A$5:$A$89,A13,Timeline!$D$5:$D$89,"Global / Diplomatic")</f>
        <v>1</v>
      </c>
    </row>
    <row r="14" customFormat="false" ht="15" hidden="false" customHeight="false" outlineLevel="0" collapsed="false">
      <c r="A14" s="10" t="n">
        <v>26952</v>
      </c>
      <c r="B14" s="7" t="n">
        <f aca="false">A14-DATE(1973,10,6)+1</f>
        <v>10</v>
      </c>
      <c r="C14" s="6" t="str">
        <f aca="false">INDEX(Lists!$B$5:$B$9,MATCH(A14,Lists!$A$5:$A$9,1))</f>
        <v>Counteroffensive</v>
      </c>
      <c r="D14" s="7" t="n">
        <f aca="false">COUNTIF(Timeline!$A$5:$A$89,A14)</f>
        <v>0</v>
      </c>
      <c r="E14" s="7" t="n">
        <f aca="false">COUNTIFS(Timeline!$A$5:$A$89,A14,Timeline!$D$5:$D$89,"Sinai")</f>
        <v>0</v>
      </c>
      <c r="F14" s="7" t="n">
        <f aca="false">COUNTIFS(Timeline!$A$5:$A$89,A14,Timeline!$D$5:$D$89,"Golan")</f>
        <v>0</v>
      </c>
      <c r="G14" s="7" t="n">
        <f aca="false">COUNTIFS(Timeline!$A$5:$A$89,A14,Timeline!$D$5:$D$89,"Global / Diplomatic")</f>
        <v>0</v>
      </c>
    </row>
    <row r="15" customFormat="false" ht="15" hidden="false" customHeight="false" outlineLevel="0" collapsed="false">
      <c r="A15" s="10" t="n">
        <v>26953</v>
      </c>
      <c r="B15" s="7" t="n">
        <f aca="false">A15-DATE(1973,10,6)+1</f>
        <v>11</v>
      </c>
      <c r="C15" s="6" t="str">
        <f aca="false">INDEX(Lists!$B$5:$B$9,MATCH(A15,Lists!$A$5:$A$9,1))</f>
        <v>Counteroffensive</v>
      </c>
      <c r="D15" s="7" t="n">
        <f aca="false">COUNTIF(Timeline!$A$5:$A$89,A15)</f>
        <v>1</v>
      </c>
      <c r="E15" s="7" t="n">
        <f aca="false">COUNTIFS(Timeline!$A$5:$A$89,A15,Timeline!$D$5:$D$89,"Sinai")</f>
        <v>1</v>
      </c>
      <c r="F15" s="7" t="n">
        <f aca="false">COUNTIFS(Timeline!$A$5:$A$89,A15,Timeline!$D$5:$D$89,"Golan")</f>
        <v>0</v>
      </c>
      <c r="G15" s="7" t="n">
        <f aca="false">COUNTIFS(Timeline!$A$5:$A$89,A15,Timeline!$D$5:$D$89,"Global / Diplomatic")</f>
        <v>0</v>
      </c>
    </row>
    <row r="16" customFormat="false" ht="15" hidden="false" customHeight="false" outlineLevel="0" collapsed="false">
      <c r="A16" s="10" t="n">
        <v>26954</v>
      </c>
      <c r="B16" s="7" t="n">
        <f aca="false">A16-DATE(1973,10,6)+1</f>
        <v>12</v>
      </c>
      <c r="C16" s="6" t="str">
        <f aca="false">INDEX(Lists!$B$5:$B$9,MATCH(A16,Lists!$A$5:$A$9,1))</f>
        <v>Counteroffensive</v>
      </c>
      <c r="D16" s="7" t="n">
        <f aca="false">COUNTIF(Timeline!$A$5:$A$89,A16)</f>
        <v>1</v>
      </c>
      <c r="E16" s="7" t="n">
        <f aca="false">COUNTIFS(Timeline!$A$5:$A$89,A16,Timeline!$D$5:$D$89,"Sinai")</f>
        <v>0</v>
      </c>
      <c r="F16" s="7" t="n">
        <f aca="false">COUNTIFS(Timeline!$A$5:$A$89,A16,Timeline!$D$5:$D$89,"Golan")</f>
        <v>0</v>
      </c>
      <c r="G16" s="7" t="n">
        <f aca="false">COUNTIFS(Timeline!$A$5:$A$89,A16,Timeline!$D$5:$D$89,"Global / Diplomatic")</f>
        <v>1</v>
      </c>
    </row>
    <row r="17" customFormat="false" ht="15" hidden="false" customHeight="false" outlineLevel="0" collapsed="false">
      <c r="A17" s="10" t="n">
        <v>26955</v>
      </c>
      <c r="B17" s="7" t="n">
        <f aca="false">A17-DATE(1973,10,6)+1</f>
        <v>13</v>
      </c>
      <c r="C17" s="6" t="str">
        <f aca="false">INDEX(Lists!$B$5:$B$9,MATCH(A17,Lists!$A$5:$A$9,1))</f>
        <v>Counteroffensive</v>
      </c>
      <c r="D17" s="7" t="n">
        <f aca="false">COUNTIF(Timeline!$A$5:$A$89,A17)</f>
        <v>0</v>
      </c>
      <c r="E17" s="7" t="n">
        <f aca="false">COUNTIFS(Timeline!$A$5:$A$89,A17,Timeline!$D$5:$D$89,"Sinai")</f>
        <v>0</v>
      </c>
      <c r="F17" s="7" t="n">
        <f aca="false">COUNTIFS(Timeline!$A$5:$A$89,A17,Timeline!$D$5:$D$89,"Golan")</f>
        <v>0</v>
      </c>
      <c r="G17" s="7" t="n">
        <f aca="false">COUNTIFS(Timeline!$A$5:$A$89,A17,Timeline!$D$5:$D$89,"Global / Diplomatic")</f>
        <v>0</v>
      </c>
    </row>
    <row r="18" customFormat="false" ht="15" hidden="false" customHeight="false" outlineLevel="0" collapsed="false">
      <c r="A18" s="10" t="n">
        <v>26956</v>
      </c>
      <c r="B18" s="7" t="n">
        <f aca="false">A18-DATE(1973,10,6)+1</f>
        <v>14</v>
      </c>
      <c r="C18" s="6" t="str">
        <f aca="false">INDEX(Lists!$B$5:$B$9,MATCH(A18,Lists!$A$5:$A$9,1))</f>
        <v>Counteroffensive</v>
      </c>
      <c r="D18" s="7" t="n">
        <f aca="false">COUNTIF(Timeline!$A$5:$A$89,A18)</f>
        <v>1</v>
      </c>
      <c r="E18" s="7" t="n">
        <f aca="false">COUNTIFS(Timeline!$A$5:$A$89,A18,Timeline!$D$5:$D$89,"Sinai")</f>
        <v>0</v>
      </c>
      <c r="F18" s="7" t="n">
        <f aca="false">COUNTIFS(Timeline!$A$5:$A$89,A18,Timeline!$D$5:$D$89,"Golan")</f>
        <v>0</v>
      </c>
      <c r="G18" s="7" t="n">
        <f aca="false">COUNTIFS(Timeline!$A$5:$A$89,A18,Timeline!$D$5:$D$89,"Global / Diplomatic")</f>
        <v>1</v>
      </c>
    </row>
    <row r="19" customFormat="false" ht="15" hidden="false" customHeight="false" outlineLevel="0" collapsed="false">
      <c r="A19" s="10" t="n">
        <v>26957</v>
      </c>
      <c r="B19" s="7" t="n">
        <f aca="false">A19-DATE(1973,10,6)+1</f>
        <v>15</v>
      </c>
      <c r="C19" s="6" t="str">
        <f aca="false">INDEX(Lists!$B$5:$B$9,MATCH(A19,Lists!$A$5:$A$9,1))</f>
        <v>Counteroffensive</v>
      </c>
      <c r="D19" s="7" t="n">
        <f aca="false">COUNTIF(Timeline!$A$5:$A$89,A19)</f>
        <v>0</v>
      </c>
      <c r="E19" s="7" t="n">
        <f aca="false">COUNTIFS(Timeline!$A$5:$A$89,A19,Timeline!$D$5:$D$89,"Sinai")</f>
        <v>0</v>
      </c>
      <c r="F19" s="7" t="n">
        <f aca="false">COUNTIFS(Timeline!$A$5:$A$89,A19,Timeline!$D$5:$D$89,"Golan")</f>
        <v>0</v>
      </c>
      <c r="G19" s="7" t="n">
        <f aca="false">COUNTIFS(Timeline!$A$5:$A$89,A19,Timeline!$D$5:$D$89,"Global / Diplomatic")</f>
        <v>0</v>
      </c>
    </row>
    <row r="20" customFormat="false" ht="15" hidden="false" customHeight="false" outlineLevel="0" collapsed="false">
      <c r="A20" s="10" t="n">
        <v>26958</v>
      </c>
      <c r="B20" s="7" t="n">
        <f aca="false">A20-DATE(1973,10,6)+1</f>
        <v>16</v>
      </c>
      <c r="C20" s="6" t="str">
        <f aca="false">INDEX(Lists!$B$5:$B$9,MATCH(A20,Lists!$A$5:$A$9,1))</f>
        <v>Counteroffensive</v>
      </c>
      <c r="D20" s="7" t="n">
        <f aca="false">COUNTIF(Timeline!$A$5:$A$89,A20)</f>
        <v>1</v>
      </c>
      <c r="E20" s="7" t="n">
        <f aca="false">COUNTIFS(Timeline!$A$5:$A$89,A20,Timeline!$D$5:$D$89,"Sinai")</f>
        <v>1</v>
      </c>
      <c r="F20" s="7" t="n">
        <f aca="false">COUNTIFS(Timeline!$A$5:$A$89,A20,Timeline!$D$5:$D$89,"Golan")</f>
        <v>0</v>
      </c>
      <c r="G20" s="7" t="n">
        <f aca="false">COUNTIFS(Timeline!$A$5:$A$89,A20,Timeline!$D$5:$D$89,"Global / Diplomatic")</f>
        <v>0</v>
      </c>
    </row>
    <row r="21" customFormat="false" ht="15" hidden="false" customHeight="false" outlineLevel="0" collapsed="false">
      <c r="A21" s="10" t="n">
        <v>26959</v>
      </c>
      <c r="B21" s="7" t="n">
        <f aca="false">A21-DATE(1973,10,6)+1</f>
        <v>17</v>
      </c>
      <c r="C21" s="6" t="str">
        <f aca="false">INDEX(Lists!$B$5:$B$9,MATCH(A21,Lists!$A$5:$A$9,1))</f>
        <v>Ceasefire</v>
      </c>
      <c r="D21" s="7" t="n">
        <f aca="false">COUNTIF(Timeline!$A$5:$A$89,A21)</f>
        <v>3</v>
      </c>
      <c r="E21" s="7" t="n">
        <f aca="false">COUNTIFS(Timeline!$A$5:$A$89,A21,Timeline!$D$5:$D$89,"Sinai")</f>
        <v>0</v>
      </c>
      <c r="F21" s="7" t="n">
        <f aca="false">COUNTIFS(Timeline!$A$5:$A$89,A21,Timeline!$D$5:$D$89,"Golan")</f>
        <v>1</v>
      </c>
      <c r="G21" s="7" t="n">
        <f aca="false">COUNTIFS(Timeline!$A$5:$A$89,A21,Timeline!$D$5:$D$89,"Global / Diplomatic")</f>
        <v>2</v>
      </c>
    </row>
    <row r="22" customFormat="false" ht="15" hidden="false" customHeight="false" outlineLevel="0" collapsed="false">
      <c r="A22" s="10" t="n">
        <v>26960</v>
      </c>
      <c r="B22" s="7" t="n">
        <f aca="false">A22-DATE(1973,10,6)+1</f>
        <v>18</v>
      </c>
      <c r="C22" s="6" t="str">
        <f aca="false">INDEX(Lists!$B$5:$B$9,MATCH(A22,Lists!$A$5:$A$9,1))</f>
        <v>Ceasefire</v>
      </c>
      <c r="D22" s="7" t="n">
        <f aca="false">COUNTIF(Timeline!$A$5:$A$89,A22)</f>
        <v>2</v>
      </c>
      <c r="E22" s="7" t="n">
        <f aca="false">COUNTIFS(Timeline!$A$5:$A$89,A22,Timeline!$D$5:$D$89,"Sinai")</f>
        <v>1</v>
      </c>
      <c r="F22" s="7" t="n">
        <f aca="false">COUNTIFS(Timeline!$A$5:$A$89,A22,Timeline!$D$5:$D$89,"Golan")</f>
        <v>0</v>
      </c>
      <c r="G22" s="7" t="n">
        <f aca="false">COUNTIFS(Timeline!$A$5:$A$89,A22,Timeline!$D$5:$D$89,"Global / Diplomatic")</f>
        <v>1</v>
      </c>
    </row>
    <row r="23" customFormat="false" ht="15" hidden="false" customHeight="false" outlineLevel="0" collapsed="false">
      <c r="A23" s="10" t="n">
        <v>26961</v>
      </c>
      <c r="B23" s="7" t="n">
        <f aca="false">A23-DATE(1973,10,6)+1</f>
        <v>19</v>
      </c>
      <c r="C23" s="6" t="str">
        <f aca="false">INDEX(Lists!$B$5:$B$9,MATCH(A23,Lists!$A$5:$A$9,1))</f>
        <v>Ceasefire</v>
      </c>
      <c r="D23" s="7" t="n">
        <f aca="false">COUNTIF(Timeline!$A$5:$A$89,A23)</f>
        <v>1</v>
      </c>
      <c r="E23" s="7" t="n">
        <f aca="false">COUNTIFS(Timeline!$A$5:$A$89,A23,Timeline!$D$5:$D$89,"Sinai")</f>
        <v>1</v>
      </c>
      <c r="F23" s="7" t="n">
        <f aca="false">COUNTIFS(Timeline!$A$5:$A$89,A23,Timeline!$D$5:$D$89,"Golan")</f>
        <v>0</v>
      </c>
      <c r="G23" s="7" t="n">
        <f aca="false">COUNTIFS(Timeline!$A$5:$A$89,A23,Timeline!$D$5:$D$89,"Global / Diplomatic")</f>
        <v>0</v>
      </c>
    </row>
    <row r="24" customFormat="false" ht="15" hidden="false" customHeight="false" outlineLevel="0" collapsed="false">
      <c r="A24" s="10" t="n">
        <v>26962</v>
      </c>
      <c r="B24" s="7" t="n">
        <f aca="false">A24-DATE(1973,10,6)+1</f>
        <v>20</v>
      </c>
      <c r="C24" s="6" t="str">
        <f aca="false">INDEX(Lists!$B$5:$B$9,MATCH(A24,Lists!$A$5:$A$9,1))</f>
        <v>Ceasefire</v>
      </c>
      <c r="D24" s="7" t="n">
        <f aca="false">COUNTIF(Timeline!$A$5:$A$89,A24)</f>
        <v>2</v>
      </c>
      <c r="E24" s="7" t="n">
        <f aca="false">COUNTIFS(Timeline!$A$5:$A$89,A24,Timeline!$D$5:$D$89,"Sinai")</f>
        <v>0</v>
      </c>
      <c r="F24" s="7" t="n">
        <f aca="false">COUNTIFS(Timeline!$A$5:$A$89,A24,Timeline!$D$5:$D$89,"Golan")</f>
        <v>0</v>
      </c>
      <c r="G24" s="7" t="n">
        <f aca="false">COUNTIFS(Timeline!$A$5:$A$89,A24,Timeline!$D$5:$D$89,"Global / Diplomatic")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8AB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15" hidden="false" customHeight="false" outlineLevel="0" collapsed="false">
      <c r="A4" s="5" t="s">
        <v>271</v>
      </c>
      <c r="B4" s="5" t="s">
        <v>52</v>
      </c>
      <c r="C4" s="5" t="s">
        <v>272</v>
      </c>
      <c r="D4" s="5" t="s">
        <v>273</v>
      </c>
      <c r="E4" s="5" t="s">
        <v>274</v>
      </c>
    </row>
    <row r="5" customFormat="false" ht="15" hidden="false" customHeight="false" outlineLevel="0" collapsed="false">
      <c r="A5" s="11" t="s">
        <v>59</v>
      </c>
      <c r="B5" s="11" t="s">
        <v>275</v>
      </c>
      <c r="C5" s="11" t="s">
        <v>276</v>
      </c>
      <c r="D5" s="11" t="s">
        <v>277</v>
      </c>
      <c r="E5" s="11" t="s">
        <v>278</v>
      </c>
    </row>
    <row r="6" customFormat="false" ht="15" hidden="false" customHeight="false" outlineLevel="0" collapsed="false">
      <c r="A6" s="11" t="s">
        <v>80</v>
      </c>
      <c r="B6" s="11" t="s">
        <v>279</v>
      </c>
      <c r="C6" s="11" t="s">
        <v>280</v>
      </c>
      <c r="D6" s="11" t="s">
        <v>281</v>
      </c>
      <c r="E6" s="11" t="s">
        <v>282</v>
      </c>
    </row>
    <row r="7" customFormat="false" ht="15" hidden="false" customHeight="false" outlineLevel="0" collapsed="false">
      <c r="A7" s="11" t="s">
        <v>87</v>
      </c>
      <c r="B7" s="11" t="s">
        <v>283</v>
      </c>
      <c r="C7" s="11" t="s">
        <v>284</v>
      </c>
      <c r="D7" s="11" t="s">
        <v>285</v>
      </c>
      <c r="E7" s="11" t="s">
        <v>286</v>
      </c>
    </row>
    <row r="8" customFormat="false" ht="15" hidden="false" customHeight="false" outlineLevel="0" collapsed="false">
      <c r="A8" s="11" t="s">
        <v>117</v>
      </c>
      <c r="B8" s="11" t="s">
        <v>287</v>
      </c>
      <c r="C8" s="11" t="s">
        <v>288</v>
      </c>
      <c r="D8" s="11" t="s">
        <v>289</v>
      </c>
      <c r="E8" s="11" t="s">
        <v>290</v>
      </c>
    </row>
    <row r="9" customFormat="false" ht="15" hidden="false" customHeight="false" outlineLevel="0" collapsed="false">
      <c r="A9" s="11" t="s">
        <v>107</v>
      </c>
      <c r="B9" s="11" t="s">
        <v>291</v>
      </c>
      <c r="C9" s="11" t="s">
        <v>292</v>
      </c>
      <c r="D9" s="11" t="s">
        <v>293</v>
      </c>
      <c r="E9" s="11" t="s">
        <v>294</v>
      </c>
    </row>
    <row r="10" customFormat="false" ht="15" hidden="false" customHeight="false" outlineLevel="0" collapsed="false">
      <c r="A10" s="11" t="s">
        <v>100</v>
      </c>
      <c r="B10" s="11" t="s">
        <v>295</v>
      </c>
      <c r="C10" s="11" t="s">
        <v>296</v>
      </c>
      <c r="D10" s="11" t="s">
        <v>285</v>
      </c>
      <c r="E10" s="11" t="s">
        <v>297</v>
      </c>
    </row>
    <row r="11" customFormat="false" ht="15" hidden="false" customHeight="false" outlineLevel="0" collapsed="false">
      <c r="A11" s="11" t="s">
        <v>68</v>
      </c>
      <c r="B11" s="11" t="s">
        <v>298</v>
      </c>
      <c r="C11" s="11" t="s">
        <v>299</v>
      </c>
      <c r="D11" s="11" t="s">
        <v>187</v>
      </c>
      <c r="E11" s="11" t="s">
        <v>300</v>
      </c>
    </row>
    <row r="12" customFormat="false" ht="15" hidden="false" customHeight="false" outlineLevel="0" collapsed="false">
      <c r="A12" s="11" t="s">
        <v>91</v>
      </c>
      <c r="B12" s="11" t="s">
        <v>301</v>
      </c>
      <c r="C12" s="11" t="s">
        <v>299</v>
      </c>
      <c r="D12" s="11" t="s">
        <v>302</v>
      </c>
      <c r="E12" s="11" t="s">
        <v>303</v>
      </c>
    </row>
    <row r="13" customFormat="false" ht="15" hidden="false" customHeight="false" outlineLevel="0" collapsed="false">
      <c r="A13" s="11" t="s">
        <v>76</v>
      </c>
      <c r="B13" s="11" t="s">
        <v>304</v>
      </c>
      <c r="C13" s="11" t="s">
        <v>305</v>
      </c>
      <c r="D13" s="11" t="s">
        <v>285</v>
      </c>
      <c r="E13" s="11" t="s">
        <v>306</v>
      </c>
    </row>
    <row r="14" customFormat="false" ht="15" hidden="false" customHeight="false" outlineLevel="0" collapsed="false">
      <c r="A14" s="11" t="s">
        <v>112</v>
      </c>
      <c r="B14" s="11" t="s">
        <v>307</v>
      </c>
      <c r="C14" s="11" t="s">
        <v>308</v>
      </c>
      <c r="D14" s="11" t="s">
        <v>281</v>
      </c>
      <c r="E14" s="11" t="s">
        <v>309</v>
      </c>
    </row>
    <row r="15" customFormat="false" ht="23.85" hidden="false" customHeight="false" outlineLevel="0" collapsed="false">
      <c r="A15" s="11" t="s">
        <v>231</v>
      </c>
      <c r="B15" s="11" t="s">
        <v>310</v>
      </c>
      <c r="C15" s="11" t="s">
        <v>311</v>
      </c>
      <c r="D15" s="11" t="s">
        <v>312</v>
      </c>
      <c r="E15" s="11" t="s">
        <v>313</v>
      </c>
    </row>
    <row r="16" customFormat="false" ht="23.85" hidden="false" customHeight="false" outlineLevel="0" collapsed="false">
      <c r="A16" s="11" t="s">
        <v>247</v>
      </c>
      <c r="B16" s="11" t="s">
        <v>314</v>
      </c>
      <c r="C16" s="11" t="s">
        <v>315</v>
      </c>
      <c r="D16" s="11" t="s">
        <v>285</v>
      </c>
      <c r="E16" s="11" t="s">
        <v>316</v>
      </c>
    </row>
    <row r="17" customFormat="false" ht="23.85" hidden="false" customHeight="false" outlineLevel="0" collapsed="false">
      <c r="A17" s="11" t="s">
        <v>236</v>
      </c>
      <c r="B17" s="11" t="s">
        <v>317</v>
      </c>
      <c r="C17" s="11" t="s">
        <v>318</v>
      </c>
      <c r="D17" s="11" t="s">
        <v>285</v>
      </c>
      <c r="E17" s="11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8AB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15" hidden="false" customHeight="false" outlineLevel="0" collapsed="false">
      <c r="A4" s="5" t="s">
        <v>322</v>
      </c>
      <c r="B4" s="5" t="s">
        <v>47</v>
      </c>
      <c r="C4" s="5" t="s">
        <v>323</v>
      </c>
    </row>
    <row r="5" customFormat="false" ht="15" hidden="false" customHeight="false" outlineLevel="0" collapsed="false">
      <c r="A5" s="10" t="n">
        <v>26938</v>
      </c>
      <c r="B5" s="11" t="s">
        <v>324</v>
      </c>
      <c r="C5" s="11" t="s">
        <v>325</v>
      </c>
    </row>
    <row r="6" customFormat="false" ht="15" hidden="false" customHeight="false" outlineLevel="0" collapsed="false">
      <c r="A6" s="10" t="n">
        <v>26943</v>
      </c>
      <c r="B6" s="11" t="s">
        <v>326</v>
      </c>
      <c r="C6" s="11" t="s">
        <v>327</v>
      </c>
    </row>
    <row r="7" customFormat="false" ht="15" hidden="false" customHeight="false" outlineLevel="0" collapsed="false">
      <c r="A7" s="10" t="n">
        <v>26944</v>
      </c>
      <c r="B7" s="11" t="s">
        <v>328</v>
      </c>
      <c r="C7" s="11" t="s">
        <v>329</v>
      </c>
    </row>
    <row r="8" customFormat="false" ht="15" hidden="false" customHeight="false" outlineLevel="0" collapsed="false">
      <c r="A8" s="10" t="n">
        <v>26951</v>
      </c>
      <c r="B8" s="11" t="s">
        <v>330</v>
      </c>
      <c r="C8" s="11" t="s">
        <v>331</v>
      </c>
    </row>
    <row r="9" customFormat="false" ht="15" hidden="false" customHeight="false" outlineLevel="0" collapsed="false">
      <c r="A9" s="10" t="n">
        <v>26959</v>
      </c>
      <c r="B9" s="11" t="s">
        <v>332</v>
      </c>
      <c r="C9" s="11" t="s">
        <v>333</v>
      </c>
    </row>
    <row r="12" customFormat="false" ht="15" hidden="false" customHeight="false" outlineLevel="0" collapsed="false">
      <c r="A12" s="5" t="s">
        <v>48</v>
      </c>
      <c r="B12" s="5" t="s">
        <v>49</v>
      </c>
      <c r="C12" s="5" t="s">
        <v>54</v>
      </c>
      <c r="D12" s="5" t="s">
        <v>53</v>
      </c>
    </row>
    <row r="13" customFormat="false" ht="15" hidden="false" customHeight="false" outlineLevel="0" collapsed="false">
      <c r="A13" s="11" t="s">
        <v>55</v>
      </c>
      <c r="B13" s="11" t="s">
        <v>56</v>
      </c>
      <c r="C13" s="11" t="s">
        <v>61</v>
      </c>
      <c r="D13" s="11" t="s">
        <v>60</v>
      </c>
    </row>
    <row r="14" customFormat="false" ht="15" hidden="false" customHeight="false" outlineLevel="0" collapsed="false">
      <c r="A14" s="11" t="s">
        <v>77</v>
      </c>
      <c r="B14" s="11" t="s">
        <v>62</v>
      </c>
      <c r="C14" s="11" t="s">
        <v>70</v>
      </c>
      <c r="D14" s="11" t="s">
        <v>69</v>
      </c>
    </row>
    <row r="15" customFormat="false" ht="15" hidden="false" customHeight="false" outlineLevel="0" collapsed="false">
      <c r="A15" s="11" t="s">
        <v>88</v>
      </c>
      <c r="B15" s="11" t="s">
        <v>65</v>
      </c>
      <c r="C15" s="11" t="s">
        <v>84</v>
      </c>
      <c r="D15" s="11" t="s">
        <v>97</v>
      </c>
    </row>
    <row r="16" customFormat="false" ht="15" hidden="false" customHeight="false" outlineLevel="0" collapsed="false">
      <c r="A16" s="11"/>
      <c r="B16" s="11" t="s">
        <v>71</v>
      </c>
      <c r="C16" s="11"/>
      <c r="D16" s="11"/>
    </row>
    <row r="17" customFormat="false" ht="15" hidden="false" customHeight="false" outlineLevel="0" collapsed="false">
      <c r="A17" s="11"/>
      <c r="B17" s="11" t="s">
        <v>85</v>
      </c>
      <c r="C17" s="11"/>
      <c r="D17" s="11"/>
    </row>
    <row r="18" customFormat="false" ht="15" hidden="false" customHeight="false" outlineLevel="0" collapsed="false">
      <c r="A18" s="11"/>
      <c r="B18" s="11" t="s">
        <v>81</v>
      </c>
      <c r="C18" s="11"/>
      <c r="D18" s="11"/>
    </row>
    <row r="19" customFormat="false" ht="15" hidden="false" customHeight="false" outlineLevel="0" collapsed="false">
      <c r="A19" s="11"/>
      <c r="B19" s="11" t="s">
        <v>74</v>
      </c>
      <c r="C19" s="11"/>
      <c r="D19" s="11"/>
    </row>
    <row r="20" customFormat="false" ht="15" hidden="false" customHeight="false" outlineLevel="0" collapsed="false">
      <c r="A20" s="11"/>
      <c r="B20" s="11" t="s">
        <v>93</v>
      </c>
      <c r="C20" s="11"/>
      <c r="D20" s="11"/>
    </row>
    <row r="21" customFormat="false" ht="15" hidden="false" customHeight="false" outlineLevel="0" collapsed="false">
      <c r="A21" s="11"/>
      <c r="B21" s="11" t="s">
        <v>102</v>
      </c>
      <c r="C21" s="11"/>
      <c r="D2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2026-10-02T15:15:17Z</dcterms:created>
  <dc:creator>openpyxl</dc:creator>
  <dc:description/>
  <dc:language>en-US</dc:language>
  <cp:lastModifiedBy/>
  <dcterms:modified xsi:type="dcterms:W3CDTF">2026-10-02T15:15:17Z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